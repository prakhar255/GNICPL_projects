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rakhar Khandelwal\Desktop\"/>
    </mc:Choice>
  </mc:AlternateContent>
  <xr:revisionPtr revIDLastSave="0" documentId="13_ncr:1_{46D5A730-55AC-4C2A-BBAA-09B598F41710}" xr6:coauthVersionLast="47" xr6:coauthVersionMax="47" xr10:uidLastSave="{00000000-0000-0000-0000-000000000000}"/>
  <bookViews>
    <workbookView xWindow="-108" yWindow="-108" windowWidth="23256" windowHeight="12456" activeTab="4" xr2:uid="{5E69AE95-A17B-4D93-900C-B0A332D1D65B}"/>
  </bookViews>
  <sheets>
    <sheet name="Indian_water_data" sheetId="1" r:id="rId1"/>
    <sheet name="Data Cleaning" sheetId="3" r:id="rId2"/>
    <sheet name="Data Preprocessing" sheetId="5" r:id="rId3"/>
    <sheet name="Pivot Tables" sheetId="7" r:id="rId4"/>
    <sheet name="Dashboard" sheetId="8" r:id="rId5"/>
  </sheets>
  <definedNames>
    <definedName name="Slicer_State_Name">#N/A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 i="8" l="1"/>
  <c r="T4" i="8"/>
  <c r="L3" i="5"/>
  <c r="L4" i="5"/>
  <c r="L5" i="5"/>
  <c r="L6" i="5"/>
  <c r="L7" i="5"/>
  <c r="L8" i="5"/>
  <c r="L9" i="5"/>
  <c r="L10" i="5"/>
  <c r="L11" i="5"/>
  <c r="L12" i="5"/>
  <c r="L13" i="5"/>
  <c r="L2" i="5"/>
  <c r="N3" i="5"/>
  <c r="N4" i="5"/>
  <c r="N5" i="5"/>
  <c r="N6" i="5"/>
  <c r="N7" i="5"/>
  <c r="N8" i="5"/>
  <c r="N9" i="5"/>
  <c r="N10" i="5"/>
  <c r="N11" i="5"/>
  <c r="N12" i="5"/>
  <c r="N13" i="5"/>
  <c r="N2" i="5"/>
  <c r="M3" i="5"/>
  <c r="M4" i="5"/>
  <c r="M5" i="5"/>
  <c r="M6" i="5"/>
  <c r="M7" i="5"/>
  <c r="M8" i="5"/>
  <c r="M9" i="5"/>
  <c r="M10" i="5"/>
  <c r="M11" i="5"/>
  <c r="M12" i="5"/>
  <c r="M13" i="5"/>
  <c r="M2" i="5"/>
  <c r="J3" i="5"/>
  <c r="J2" i="5"/>
  <c r="V3" i="3"/>
  <c r="V4" i="3"/>
  <c r="V5" i="3"/>
  <c r="V6" i="3"/>
  <c r="V7" i="3"/>
  <c r="V8" i="3"/>
  <c r="V9" i="3"/>
  <c r="V10" i="3"/>
  <c r="V11" i="3"/>
  <c r="V12" i="3"/>
  <c r="V13" i="3"/>
  <c r="V2" i="3"/>
  <c r="U3" i="3"/>
  <c r="U4" i="3"/>
  <c r="U5" i="3"/>
  <c r="U6" i="3"/>
  <c r="U7" i="3"/>
  <c r="U8" i="3"/>
  <c r="U9" i="3"/>
  <c r="U10" i="3"/>
  <c r="U11" i="3"/>
  <c r="U12" i="3"/>
  <c r="U13" i="3"/>
  <c r="U2" i="3"/>
  <c r="T3" i="3"/>
  <c r="T4" i="3"/>
  <c r="T5" i="3"/>
  <c r="T6" i="3"/>
  <c r="T7" i="3"/>
  <c r="T8" i="3"/>
  <c r="T9" i="3"/>
  <c r="T10" i="3"/>
  <c r="T11" i="3"/>
  <c r="T12" i="3"/>
  <c r="T13" i="3"/>
  <c r="T2" i="3"/>
  <c r="S3" i="3"/>
  <c r="S4" i="3"/>
  <c r="S5" i="3"/>
  <c r="S6" i="3"/>
  <c r="S7" i="3"/>
  <c r="S8" i="3"/>
  <c r="S9" i="3"/>
  <c r="S10" i="3"/>
  <c r="S11" i="3"/>
  <c r="S12" i="3"/>
  <c r="S13" i="3"/>
  <c r="S2" i="3"/>
  <c r="E9" i="7"/>
  <c r="E8" i="7"/>
  <c r="E7" i="7"/>
  <c r="E6" i="7"/>
  <c r="D62" i="7"/>
  <c r="D64" i="7"/>
  <c r="E5" i="7"/>
  <c r="D63" i="7"/>
  <c r="E4" i="7"/>
  <c r="E13" i="7"/>
  <c r="E14" i="7"/>
  <c r="E12" i="7"/>
  <c r="E10" i="7"/>
  <c r="E11" i="7"/>
</calcChain>
</file>

<file path=xl/sharedStrings.xml><?xml version="1.0" encoding="utf-8"?>
<sst xmlns="http://schemas.openxmlformats.org/spreadsheetml/2006/main" count="2575" uniqueCount="528">
  <si>
    <t>STN code</t>
  </si>
  <si>
    <t>Name</t>
  </si>
  <si>
    <t>Location</t>
  </si>
  <si>
    <t>Year</t>
  </si>
  <si>
    <t>Type Water Body</t>
  </si>
  <si>
    <t>State Name</t>
  </si>
  <si>
    <t>Temperature (C) - Min</t>
  </si>
  <si>
    <t>Temperature (C) - Max</t>
  </si>
  <si>
    <t>Dissolved - Min</t>
  </si>
  <si>
    <t>Dissolved - Max</t>
  </si>
  <si>
    <t>pH - Min</t>
  </si>
  <si>
    <t>pH - Max</t>
  </si>
  <si>
    <t>Conductivity (Â¬Âµmho/cm) - Min</t>
  </si>
  <si>
    <t>Conductivity (Â¬Âµmho/cm) - Max</t>
  </si>
  <si>
    <t>BOD (mg/L) - Min</t>
  </si>
  <si>
    <t>BOD (mg/L) - Max</t>
  </si>
  <si>
    <t>NitrateN (mg/L) - Min</t>
  </si>
  <si>
    <t>NitrateN (mg/L) - Max</t>
  </si>
  <si>
    <t>Fecal Coliform (MPN/100ml) - Min</t>
  </si>
  <si>
    <t>Fecal Coliform (MPN/100ml) - Max</t>
  </si>
  <si>
    <t>Total Coliform (MPN/100ml) - Min</t>
  </si>
  <si>
    <t>Total Coliform (MPN/100ml) - Max</t>
  </si>
  <si>
    <t>Fecal - Min</t>
  </si>
  <si>
    <t>Fecal - Max</t>
  </si>
  <si>
    <t>RIVER JUMAR AT BIT MESRA, RANCHI</t>
  </si>
  <si>
    <t>RIVER</t>
  </si>
  <si>
    <t>JHARKHAND</t>
  </si>
  <si>
    <t>RIVER JUMAR AT KANKE DAM</t>
  </si>
  <si>
    <t>RIVER AJAY AT MASANJORE DAM</t>
  </si>
  <si>
    <t>RIVER KONAR NEAR SWANG COAL WASHERY, BOKARO</t>
  </si>
  <si>
    <t>RIVER KONAR AT TENUGHAT DAM</t>
  </si>
  <si>
    <t>RIVER GARGA NEAR TELMUCHO BRIDGE</t>
  </si>
  <si>
    <t>RIVER BOKARO AT ZARANGDIH BRIDGE</t>
  </si>
  <si>
    <t>RIVER SANKH AT BOLBA, JHARKHAND</t>
  </si>
  <si>
    <t>RIVER BARAKAR AT MAITHAN DAM</t>
  </si>
  <si>
    <t>RIVER DAMODAR NEAR ZARANGDIH BRIDGE, BOKARO</t>
  </si>
  <si>
    <t>RIVER DAMODAR NEAR ROHINI PROJECT, NK AREA, PO-DAKRA, RANCHI</t>
  </si>
  <si>
    <t>RIVER DAMODAR NEAR TELMUCHO BRIDGE</t>
  </si>
  <si>
    <t>BDL</t>
  </si>
  <si>
    <t>RIVER TONS AT TIUNI (HIMACHAL PRADESH/UTTRA KHAND BORDER)</t>
  </si>
  <si>
    <t>HIMACHAL PRADESH</t>
  </si>
  <si>
    <t>RIVER TONS AT HARIPUR (U.K.)</t>
  </si>
  <si>
    <t>UTTARAKHAND</t>
  </si>
  <si>
    <t>RIVER GIRI D/S RAJGARH TOWN</t>
  </si>
  <si>
    <t>RIVER GIRI D/S KALGIDHAR TRUST, BARU SAHIB</t>
  </si>
  <si>
    <t>RIVER GIRI U/S CHAILLA</t>
  </si>
  <si>
    <t>RIVER GIRI AT D/S YASHWANT NAGAR AFTER CONF. WITH ASHWANI KHAD AT YASHWANT NAGAR- NEAR SHANI MANDIR</t>
  </si>
  <si>
    <t>RIVER GIRI AFTER CONFLUENCE OF ASHWANI RIVER AT VILLAGE MARYOG</t>
  </si>
  <si>
    <t>RIVER GIRI AT U/S CCI MINES AT VILLAGE NADI</t>
  </si>
  <si>
    <t>RIVER GIRI D/S SATAUN</t>
  </si>
  <si>
    <t>RIVER GIRI U/S LWSS AT SAINJ</t>
  </si>
  <si>
    <t>RIVER GIRI D/S LWSS AT SAINJ</t>
  </si>
  <si>
    <t>RIVER GIRI D/S CEMENT CORPORATION OF INDIA, RAJBAN AT BANGRAN BRIDGE</t>
  </si>
  <si>
    <t>RIVER BETWA NEAR WATER SUPPLY INTAKE WELL , VIDISHA(M.P)</t>
  </si>
  <si>
    <t>MADHYA PRADESH</t>
  </si>
  <si>
    <t>RIVER BETWA AT U/S AT MAHUTA GHAT, AGASOD, BINA</t>
  </si>
  <si>
    <t>RIVER BETWA AT M/S J.P. THERMAL POWER, BINA</t>
  </si>
  <si>
    <t>RIVER BETWA AT CHARANTIRGHAT, VIDISHA</t>
  </si>
  <si>
    <t>RIVER BETWA D/S AFTER MIXING OF RIVER BAIS AT VIDISHA</t>
  </si>
  <si>
    <t>RIVER BETWA AT U/S NEAR ROAD BRIDGE ORCHHA</t>
  </si>
  <si>
    <t>RIVER BETWA AT KANJIA ROAD BRIDGE, KANJIA DIST.ASHOK NAGAR (M.P.)</t>
  </si>
  <si>
    <t>RIVER KALI SINDH AT ANICUT OF M/S CFCL GADEPAN, KOTA, RAJASTHAN</t>
  </si>
  <si>
    <t>RAJASTHAN</t>
  </si>
  <si>
    <t>RIVER KALI SINDH AT BAROD ROAD BRIDGE, KOTA, RAJASTHAN</t>
  </si>
  <si>
    <t>RIVER BANAS BISULPUR DAM, TONK, RAJASTHAN</t>
  </si>
  <si>
    <t>RIVER NEAR NEWTA DAM,JAIPUR,RAJSTHAN</t>
  </si>
  <si>
    <t>RIVER CHAMBAL ENTERING IN RAJASTHAN AT GANDHI SAGAR DAM, RAWATBHATA,CHITTORGARH</t>
  </si>
  <si>
    <t>RIVER CHAMBAL AT TAL VILLAGE NEAR BRIDGE, UJJAIN</t>
  </si>
  <si>
    <t>SEA WATER, BAY OF BENGAL, AFTER CONFLUENCE OF MARINE OUTFALL OF M/S.AUROBINDO PHARMA LTD. PYDIBHEEMAVARAM (V), RANASTHALAM (M)</t>
  </si>
  <si>
    <t>MARINE</t>
  </si>
  <si>
    <t>ANDHRA PRADESH</t>
  </si>
  <si>
    <t>-</t>
  </si>
  <si>
    <t>SEA WAER BAY OF BENGAL, AFTER CONFLUENCE OF MARINE OUTFALL OF M/S MATRIX LABORATORIES LTD THAMMAYYAPALEM (V) PUSAPATIREGA (M)</t>
  </si>
  <si>
    <t>RUSHIKONDA BEACH</t>
  </si>
  <si>
    <t>VISAKHAPATNAM</t>
  </si>
  <si>
    <t>BEACH</t>
  </si>
  <si>
    <t xml:space="preserve"> UPPADA BEACH ROAD</t>
  </si>
  <si>
    <t>KAKINADA</t>
  </si>
  <si>
    <t>SEA WATER, BAY OF BENGAL NEAR DEEP WATER PORT, KAKINADA (1KM AWAY FROM JETTY)</t>
  </si>
  <si>
    <t>SEA</t>
  </si>
  <si>
    <t>SEA WATER BAY OF BENGAL NEAR KUMBHABHISHEKAM TEMPALE, KAKINADA</t>
  </si>
  <si>
    <t>SEA WATER, BAY OF BENGAL AFTER CONFLUENCE OF RIVER VASHISTA GODAVARI AT CHINNAMAINAVARILANKA (V), NARSAPUR (M)</t>
  </si>
  <si>
    <t xml:space="preserve"> MANGINAPUDI BEACH, MACHILIPATNAM (V &amp; M)</t>
  </si>
  <si>
    <t>SEA WATER BAY OF BENGAL, FISHING HARBOUR, NIZAMPATNAM (V &amp; M)</t>
  </si>
  <si>
    <t xml:space="preserve"> KOTHAPATNAM BEACH</t>
  </si>
  <si>
    <t xml:space="preserve"> VODAREVU BEACH</t>
  </si>
  <si>
    <t>CHIRALA</t>
  </si>
  <si>
    <t>SEA WATER, BAY OF BENGAL, KRISHNAPATNAM PORT</t>
  </si>
  <si>
    <t>TIRACOL BEACH</t>
  </si>
  <si>
    <t>GOA</t>
  </si>
  <si>
    <t>MIRAMAR BEACH</t>
  </si>
  <si>
    <t>CALANGUTE BEACH</t>
  </si>
  <si>
    <t>MORJIM BEACH</t>
  </si>
  <si>
    <t>BUDAMERU CANAL, NEAR BDG AT NH-5, KEESARAPALLI (V), GANNAVARAM (M)</t>
  </si>
  <si>
    <t>CANAL</t>
  </si>
  <si>
    <t>ELERU CANAL, NEAR PHARMA CITY,THADI (V),PARAVADA (M)</t>
  </si>
  <si>
    <t>KRISHNA CANAL, AT HANUMAN NAGAR, NEAR SAIBABA TEMPLE, ELURU</t>
  </si>
  <si>
    <t>SAMARLA KOTA CANAL,SAMARLA KOTA (V &amp; M)</t>
  </si>
  <si>
    <t>GOSTTA NADI- VELPURU CANAL, AT HANUMAN TEMPLE, DOWNSTREAM OF TANUKU TOWN, TANUKU</t>
  </si>
  <si>
    <t>AGRA CANAL, MADANPUR KHADAR, DELHI</t>
  </si>
  <si>
    <t>DELHI</t>
  </si>
  <si>
    <t>WESTERN YAMUNA CANAL,AT HAIDERPUR WATER WORKS, DELHI</t>
  </si>
  <si>
    <t>CANAL UP STREAM OF CUNCOLIM INDL.EST. CUNCOLIM, SALCETE (1 KM FROM M/S NICOMENT INDUSTRIES)</t>
  </si>
  <si>
    <t>CANAL DOWNSTREAM OF CUNCOLIM INDL.EST. CUNCOLIM, SALCETE (NEAR RAILWAY BRIDGE)</t>
  </si>
  <si>
    <t>CUMBARJUA CANAL, CORLIM(DISCHARGE POINT OF SYNGENTA LIMITED)</t>
  </si>
  <si>
    <t>NARMADA MAIN CANAL, NR. VILLAGE. LIMBADIA, DIST. GANDHINAGAR,NARMADA CANAL AT LIMBADIYA</t>
  </si>
  <si>
    <t>GUJARAT</t>
  </si>
  <si>
    <t>NEAR AZARA RAILWAY STATION, GANAKPARA CHAKARDOI</t>
  </si>
  <si>
    <t>LAKE</t>
  </si>
  <si>
    <t>ASSAM</t>
  </si>
  <si>
    <t>AT THE CENTER OF DEEPORBEEL</t>
  </si>
  <si>
    <t>DIPLAI BEEL AT SILGARA, KOKRAJHAR</t>
  </si>
  <si>
    <t>DOLOO LAKE AT CACHAR</t>
  </si>
  <si>
    <t>ELANGABEEL SYSTEM (CONNECTED TO R. KOLONG), ASSAM</t>
  </si>
  <si>
    <t>HAFLONG LAKE, HAFLONG TOWN</t>
  </si>
  <si>
    <t>HOLLUNGA BEEL NEAR GAI NADI/ RIVER AT SOMARAJAN, DHEMA JI</t>
  </si>
  <si>
    <t>JUGIBEEL , GOLAGHAT</t>
  </si>
  <si>
    <t>KAMALABARI LAKE INSIDE KAMALABARI CHILDREN'S PARK, GELEKY</t>
  </si>
  <si>
    <t>KAMALPUR BEEL, KAMALPUR</t>
  </si>
  <si>
    <t>LAUKHOWABEEL,DHUBRI</t>
  </si>
  <si>
    <t>MAGURI BEEL, GUIJAN, TINSUKIA</t>
  </si>
  <si>
    <t>MAGURI BEEL NEAR BRIDGE,TINSUKIA</t>
  </si>
  <si>
    <t>MALINI BEEL NEAR INDUTRIAL AREA AT RAMNAGAR</t>
  </si>
  <si>
    <t>MER BEEL AT MADHABPUR, ASSAM</t>
  </si>
  <si>
    <t>PANIDIHING BIRD SANCTUARY ,SIVASAGAR</t>
  </si>
  <si>
    <t>PARASHALI BEEL AT DEMORIA</t>
  </si>
  <si>
    <t>SAMAGURI BEEL IN NAGAON DISTRICT</t>
  </si>
  <si>
    <t>SARAN BEEL, ASSAM</t>
  </si>
  <si>
    <t>SILSAKO BEEL, CHACHAL, GUWAHATI</t>
  </si>
  <si>
    <t>SON BEEL WATER AT KARIMGANJ</t>
  </si>
  <si>
    <t>SORU SOLA BEEL, PALTAN BAZAR, GUWAHATI</t>
  </si>
  <si>
    <t>BASKANDI POND INSIDE THE BASKANDI MADRASA, BASKANDI, ASSAM</t>
  </si>
  <si>
    <t>POND</t>
  </si>
  <si>
    <t>BATODRAWA SATRA POND, NAGAON, ASSAM</t>
  </si>
  <si>
    <t>BISHNU PUSKAR PUKHURI OF HAYAGRIB MADHAB TEMPLE, HAJO, ASSAM</t>
  </si>
  <si>
    <t>BORPUKHURI, NAZIRA, ASSAM</t>
  </si>
  <si>
    <t>BORPUKHURI AT SONARI</t>
  </si>
  <si>
    <t>DIGHALI PUKHURI, GUWAHATI, ASSAM</t>
  </si>
  <si>
    <t>GANGA PUKHURI, NALBARI (GORDON SCHOOL), ASSAM</t>
  </si>
  <si>
    <t>GAURISAGAR TANK, GAURISAGAR, ASSAM</t>
  </si>
  <si>
    <t>GOPHUR TANK, GOPHUR, ASSAM</t>
  </si>
  <si>
    <t>HARDOI PUKHURI, CHARAIDEW, ASSAM</t>
  </si>
  <si>
    <t>JAIPAL PUKHURI, SIPAJHAR, ASSAM</t>
  </si>
  <si>
    <t>JAYSAGAR TANK, SIVASAGAR, ASSAM</t>
  </si>
  <si>
    <t>JORPUKHURI AT UZANBAZAR (UGRATALA TEMPLE)</t>
  </si>
  <si>
    <t>MAHAMAYA MANDIR PUKHURI, ASSAM</t>
  </si>
  <si>
    <t>NETAI PUKHURI AT NETAI PUKHURI</t>
  </si>
  <si>
    <t>PADUMPUKHURI, TEZPUR, ASSAM</t>
  </si>
  <si>
    <t>RAJADINIA PUKHURI AT ABHAYAPURI, ASSAM</t>
  </si>
  <si>
    <t>RAJAPUKHURI AT GAURIPUR, ASSAM</t>
  </si>
  <si>
    <t>RAJMAW PUKHURI, JORHAT, ASSAM</t>
  </si>
  <si>
    <t>POND WATER FROM RAMKRISHNA MISSION AT HAILAKANDI</t>
  </si>
  <si>
    <t>SIVASAGAR TANK (BORPUKHURI) NEAR SIVADOL, ASSAM</t>
  </si>
  <si>
    <t>SUBHAGYA KUNDA POND KAMAKHYA TEMPLE, GUWAHATI, ASSAM</t>
  </si>
  <si>
    <t>TENGA PUKHURI AT TENGAPUKHURI</t>
  </si>
  <si>
    <t>THOWRADOLE PUKHURI, THOWRADOLE G.P. DEMOW BLOCK</t>
  </si>
  <si>
    <t>SEA WATER , BAY OF BENGAL, AFTER CONFLUENCE OF MARINE OUTFALL OF M/S. AUROBINDO PHARMA LTD. PYDIBHEEMAVARAM (V) RANASTHALAM (M)</t>
  </si>
  <si>
    <t>SEA WAER BAY OF BENGAL, AFTER CONFLUENCE OF MARINE OUTFALL OF M/S MATRIX LABORATORIES LTD.THAMMAVAYAPALEM (V) PUSAPATIREGA (M)</t>
  </si>
  <si>
    <t>SEA WATER, BAY OF BENGAL AFTER CONFLUENCE OF RIVER VASHISTA GODAVARI AT CHINNAMAINAVANILANKA (V), NARSAPUR (M)</t>
  </si>
  <si>
    <t xml:space="preserve"> MANGINAPUDI BEACH</t>
  </si>
  <si>
    <t>MACHILIPATNAM</t>
  </si>
  <si>
    <t>SEA WATER BAY OF BENGAL, FISHING HARBOUR, NIZAMPATNAM</t>
  </si>
  <si>
    <t xml:space="preserve"> VADAREVU BEACH</t>
  </si>
  <si>
    <t>CREEK AT DANDO MOLLO, VELSAO, MAMUGAO</t>
  </si>
  <si>
    <t>CREEK</t>
  </si>
  <si>
    <t>MOBOR BEACH</t>
  </si>
  <si>
    <t>SAMARLA KOTA CANAL, KAKINADA, EAST GODAVARI</t>
  </si>
  <si>
    <t>TULJE BAGH CANAL, TEKRI DRAIN, KAKINADA, EAST GODAVARI</t>
  </si>
  <si>
    <t>BUDAMERU CANAL, NR BDG AT NH-5, KESARAPALLY, KRISHNA</t>
  </si>
  <si>
    <t>ELERU CANAL, NEAR PHARMA CITY</t>
  </si>
  <si>
    <t>KRISHNA CANAL, AT HANUMAN NAGAR, NEAR SAIBABA TEMPLE, ELIRU</t>
  </si>
  <si>
    <t>GOSTTA NADI- VELPURU CANAL, AT HANUMAN TEMPLE, DOWNSTREAM OF TANUKU TOWN, ATTILI (M)</t>
  </si>
  <si>
    <t>NARMADA MAIN CANAL, NR. VILLAGE. LIMBADIA, DIST. GANDHINAGAR.</t>
  </si>
  <si>
    <t>TAPI CANAL, AT VILLAGE UMARWADA, NEAR GIDC ESTATE OF PANOLI.</t>
  </si>
  <si>
    <t>FROM NARMADA MAIN CANAL AT INDORAHMEDABAD HIGHWAY BRIDGE NEAR VILLAGE MOTIKANTADI TAL, GODHRA, DIST PANCHMAHAL</t>
  </si>
  <si>
    <t>RIVER SUTLEJ AT U/S TATAPANI</t>
  </si>
  <si>
    <t>RIVER SUTLEJ U/S LANDFILL SITE RAMPUR</t>
  </si>
  <si>
    <t>RIVER STLUJ D/S LANDFILL SITE RAMPUR</t>
  </si>
  <si>
    <t>RIVER SUTLEJ U/S KHAIRIAN SOLID WASTE DUMPING SITE BILASPUR</t>
  </si>
  <si>
    <t>RIVER SUTLEJ D/S KHAIRIAN SOLID WASTE DUMPING SITE BILASPUR</t>
  </si>
  <si>
    <t>RIVER SUTLEJ U/S CONFLUENCE WITH GANVI KHAND</t>
  </si>
  <si>
    <t>RIVER SUTLEJ D/S CONFLUENCE WITH GANVI KHAND</t>
  </si>
  <si>
    <t>RIVER SUTLEJ AT NANGAL (H.P.)</t>
  </si>
  <si>
    <t>RIVER SUTLEJ AT U/S SLAPPER</t>
  </si>
  <si>
    <t>RIVER SUTLEJ AT D/S SLAPPER</t>
  </si>
  <si>
    <t>RIVER SUTLEJ AT D/S BHAKHRA</t>
  </si>
  <si>
    <t>RIVER SUTLEJ AT NOORPUR BEDI ROAD (PUNJAB)</t>
  </si>
  <si>
    <t>PUNJAB</t>
  </si>
  <si>
    <t>RIVER SUTLEJ AT D/S KIRATPUR SAHIB, PUNJAB</t>
  </si>
  <si>
    <t>GUNTATHIPPA DRAIN B/C WITH RIVES CANAL AT RAMAVARAPPADU, VIJAYAWADA TOWN</t>
  </si>
  <si>
    <t>DRAIN</t>
  </si>
  <si>
    <t>TULIA BAGH DRAIN AT MATLAPALEM (V), VEMULAVADA (M)</t>
  </si>
  <si>
    <t>NEAR HUDA/ HSVP WATER WORKS, BASAI, GURUGRAM</t>
  </si>
  <si>
    <t>WATER TREATMENT PLANT (RAW WATER)</t>
  </si>
  <si>
    <t>HARYANA</t>
  </si>
  <si>
    <t>WATER WORKS- GURGAON</t>
  </si>
  <si>
    <t>ALHI KHAD NEAR INTAKE WSS AT VILL. NOG</t>
  </si>
  <si>
    <t>BARAGRAM NALLAH BEFORE CONFLUENCE TO RIVER BEAS</t>
  </si>
  <si>
    <t>BHATIAN NALLAH D/S SARA TEXTILE, NALAGARH</t>
  </si>
  <si>
    <t>BHATIAN NALLAH U/S BHATIAN VILLAGE, NEAR TVS INDUSTRY, NALAGARH</t>
  </si>
  <si>
    <t>RAW WATER FOR LWSS OF CHURAT NALLAH</t>
  </si>
  <si>
    <t>DHANESHAR NALLAH (U/S SAINJ WATER SUPPLY SCHEME) NEAR GYASI MATA MANDIR</t>
  </si>
  <si>
    <t>HALOG NALLAH NEAR HALOG WATER SUPPLY SCHEME</t>
  </si>
  <si>
    <t>HATHLI NALLAH LIFT WATER SUPPLY SCHEME FOR MUNICIPAL COUNCIL HAMIRPUR</t>
  </si>
  <si>
    <t>HURLA NALLA D/S HURLA BRIDGE, VPO HURLA, TEHSIL BHUNTER, DIS. KULLU</t>
  </si>
  <si>
    <t>RAW WATER FOR LWSS OF JAGROTI NALLAH</t>
  </si>
  <si>
    <t>JARANGLA NALLAH U/S WATER SUPPLY SCHEME</t>
  </si>
  <si>
    <t>JARANGLA NALLAH D/S WATER SUPPLY SCHEME</t>
  </si>
  <si>
    <t>KALAM NALLA D/S OF MSW PROCESSING SITE AT CHOWRI, DIST. CHAMBA</t>
  </si>
  <si>
    <t>KHALADA NALLAH NEAR WATER SUPPLY SCHEME FOR KULLU TOWN</t>
  </si>
  <si>
    <t>KLUIN NALLAH U/S WATER SUPPLY SCHEME</t>
  </si>
  <si>
    <t>LIFT WATER SUPPLY SCHEME (PANJARAR) AND BHOTA ROPARI &amp; UJHAN</t>
  </si>
  <si>
    <t>KUNNI PUL, VILL SAMAHU, PO KUNIHAR, TEHSIL ARKI</t>
  </si>
  <si>
    <t>LIFT NALLAH BEFORE CONFLUENCE TO ASHWANI KHAD NEAR DOGRHA BRIDGE</t>
  </si>
  <si>
    <t>MACHADA NALLAH, MAJHOUTI WATER SUPPLY SCHEME NEAR NIRATH</t>
  </si>
  <si>
    <t>MANALSU NALLAH NEAR WATER SUPPLY SCHEME FOR MANALI TOWN</t>
  </si>
  <si>
    <t>SAHU NALLAH U/S BHURI SINGH SHEP</t>
  </si>
  <si>
    <t>SAHU NALLAH D/S BHURI SINGH SHEP</t>
  </si>
  <si>
    <t>SAINJ NALLAH (U/S SAINJ WATER SUPPLY SCHEME AT DARGI)</t>
  </si>
  <si>
    <t>SARVARI NALLAH BEFORE CONFLUENCE TO RIVER BEAS</t>
  </si>
  <si>
    <t>SUKHANA NALLAH AT PARWANOO NEAR KALKA BARRIER, EXIT POINT OF H. P.</t>
  </si>
  <si>
    <t>SURAJMUKHI NALLAH U/S WSS GALAYANA D/S OF SHOOLINI UNIVERSITY</t>
  </si>
  <si>
    <t>SURAJMUKHI NALLAH D/S STP AT U/S OF SHOOLINI UNIVERSITY SAMTI SOLAN</t>
  </si>
  <si>
    <t>NALA AT D/S OF AKLAI MANDIR, VILLAGE- AKLAI, TALUKA- MALSHIRAS, DISTRICT- SOLAPUR.</t>
  </si>
  <si>
    <t>MAHARASHTRA</t>
  </si>
  <si>
    <t>CHIKHALI NALA MEETS GODAVARI RIVER, VILLAGE- CHIKHALI, TALUKA- NASHIK, DISTRICT- NASHIK.</t>
  </si>
  <si>
    <t>PIMPAL-PANERI NALA AT RATNAGIRI NEAR FINOLEX INDUSTRIES, VILLAGE- YAHGANIGAON, TALUKA- RATNAGIRI, DISTRICT- RATNAGIRI.</t>
  </si>
  <si>
    <t>GURADIH NALLAH AT PANPOSH</t>
  </si>
  <si>
    <t>ODISHA</t>
  </si>
  <si>
    <t>MADURAI</t>
  </si>
  <si>
    <t>STP</t>
  </si>
  <si>
    <t>TAMIL NADU</t>
  </si>
  <si>
    <t>RIVER GODAVARI - OUTLET OF ASH POND EFFLUENTS OF M/S.NTPC, RAMAGUNDAM</t>
  </si>
  <si>
    <t>TELANGANA</t>
  </si>
  <si>
    <t>RIVER MANERU (TRIBUTARY OF GODAVARI) - OUTLET OF KTPP ASH POND JOINING TO MORANCHA VAGU, CHELPUR (V), GHANPUR (MULUGU) (M), , JAYASHANKAR BHUPALAPALLI DISTRICT</t>
  </si>
  <si>
    <t>AMBERPET STP (339 MLD) - OUTLET , AMBERPET (V&amp;M), HYDERABAD</t>
  </si>
  <si>
    <t>WATER WORKS- GHAZIABAD</t>
  </si>
  <si>
    <t>UTTAR PRADESH</t>
  </si>
  <si>
    <t>MACHILIPATNAM (V &amp; M)</t>
  </si>
  <si>
    <t>BUDAMERU CANAL</t>
  </si>
  <si>
    <t xml:space="preserve"> GANNAVARAM (M)</t>
  </si>
  <si>
    <t>ELERU CANAL</t>
  </si>
  <si>
    <t xml:space="preserve"> NEAR PHARMA CITY</t>
  </si>
  <si>
    <t>PARAVADA (M)</t>
  </si>
  <si>
    <t>KRISHNA CANAL</t>
  </si>
  <si>
    <t xml:space="preserve"> ELURU</t>
  </si>
  <si>
    <t>SAMARLA KOTA CANAL</t>
  </si>
  <si>
    <t>SAMARLA KOTA (V &amp; M)</t>
  </si>
  <si>
    <t>GOSTTA NADI- VELPURU CANAL</t>
  </si>
  <si>
    <t xml:space="preserve"> TANUKU</t>
  </si>
  <si>
    <t>AGRA CANAL</t>
  </si>
  <si>
    <t xml:space="preserve"> MADANPUR KHADAR</t>
  </si>
  <si>
    <t>WESTERN YAMUNA CANAL</t>
  </si>
  <si>
    <t>AT HAIDERPUR WATER WORKS</t>
  </si>
  <si>
    <t>CANAL UP STREAM OF CUNCOLIM INDL.EST. CUNCOLIM</t>
  </si>
  <si>
    <t xml:space="preserve"> SALCETE (1 KM FROM M/S NICOMENT INDUSTRIES)</t>
  </si>
  <si>
    <t>CANAL DOWNSTREAM OF CUNCOLIM INDL.EST. CUNCOLIM</t>
  </si>
  <si>
    <t xml:space="preserve"> SALCETE (NEAR RAILWAY BRIDGE)</t>
  </si>
  <si>
    <t>CUMBARJUA CANAL</t>
  </si>
  <si>
    <t xml:space="preserve"> CORLIM(DISCHARGE POINT OF SYNGENTA LIMITED)</t>
  </si>
  <si>
    <t>NARMADA MAIN CANAL</t>
  </si>
  <si>
    <t>NARMADA CANAL AT LIMBADIYA</t>
  </si>
  <si>
    <t xml:space="preserve"> ASSAM</t>
  </si>
  <si>
    <t>HAFLONG LAKE</t>
  </si>
  <si>
    <t xml:space="preserve"> HAFLONG TOWN</t>
  </si>
  <si>
    <t xml:space="preserve">JUGIBEEL </t>
  </si>
  <si>
    <t xml:space="preserve"> GOLAGHAT</t>
  </si>
  <si>
    <t>KAMALPUR BEEL</t>
  </si>
  <si>
    <t xml:space="preserve"> KAMALPUR</t>
  </si>
  <si>
    <t>LAUKHOWABEEL</t>
  </si>
  <si>
    <t>DHUBRI</t>
  </si>
  <si>
    <t>MAGURI BEEL</t>
  </si>
  <si>
    <t xml:space="preserve"> GUIJAN</t>
  </si>
  <si>
    <t>MAGURI BEEL NEAR BRIDGE</t>
  </si>
  <si>
    <t>TINSUKIA</t>
  </si>
  <si>
    <t>MER BEEL AT MADHABPUR</t>
  </si>
  <si>
    <t xml:space="preserve">PANIDIHING BIRD SANCTUARY </t>
  </si>
  <si>
    <t>SIVASAGAR</t>
  </si>
  <si>
    <t>SARAN BEEL</t>
  </si>
  <si>
    <t>SILSAKO BEEL</t>
  </si>
  <si>
    <t xml:space="preserve"> CHACHAL</t>
  </si>
  <si>
    <t xml:space="preserve"> GUWAHATI</t>
  </si>
  <si>
    <t>SORU SOLA BEEL</t>
  </si>
  <si>
    <t xml:space="preserve"> PALTAN BAZAR</t>
  </si>
  <si>
    <t>BATODRAWA SATRA POND</t>
  </si>
  <si>
    <t>BISHNU PUSKAR PUKHURI OF HAYAGRIB MADHAB TEMPLE</t>
  </si>
  <si>
    <t>BORPUKHURI</t>
  </si>
  <si>
    <t xml:space="preserve"> NAZIRA</t>
  </si>
  <si>
    <t>DIGHALI PUKHURI</t>
  </si>
  <si>
    <t>GANGA PUKHURI</t>
  </si>
  <si>
    <t xml:space="preserve"> NALBARI (GORDON SCHOOL)</t>
  </si>
  <si>
    <t>GAURISAGAR TANK</t>
  </si>
  <si>
    <t xml:space="preserve"> GAURISAGAR</t>
  </si>
  <si>
    <t>GOPHUR TANK</t>
  </si>
  <si>
    <t xml:space="preserve"> GOPHUR</t>
  </si>
  <si>
    <t>HARDOI PUKHURI</t>
  </si>
  <si>
    <t xml:space="preserve"> CHARAIDEW</t>
  </si>
  <si>
    <t>JAIPAL PUKHURI</t>
  </si>
  <si>
    <t xml:space="preserve"> SIPAJHAR</t>
  </si>
  <si>
    <t>JAYSAGAR TANK</t>
  </si>
  <si>
    <t xml:space="preserve"> SIVASAGAR</t>
  </si>
  <si>
    <t>MAHAMAYA MANDIR PUKHURI</t>
  </si>
  <si>
    <t>PADUMPUKHURI</t>
  </si>
  <si>
    <t xml:space="preserve"> TEZPUR</t>
  </si>
  <si>
    <t>RAJADINIA PUKHURI AT ABHAYAPURI</t>
  </si>
  <si>
    <t>RAJAPUKHURI AT GAURIPUR</t>
  </si>
  <si>
    <t>RAJMAW PUKHURI</t>
  </si>
  <si>
    <t xml:space="preserve"> JORHAT</t>
  </si>
  <si>
    <t>SIVASAGAR TANK (BORPUKHURI) NEAR SIVADOL</t>
  </si>
  <si>
    <t>SUBHAGYA KUNDA POND KAMAKHYA TEMPLE</t>
  </si>
  <si>
    <t>THOWRADOLE PUKHURI</t>
  </si>
  <si>
    <t xml:space="preserve"> THOWRADOLE G.P. DEMOW BLOCK</t>
  </si>
  <si>
    <t xml:space="preserve"> KAKINADA</t>
  </si>
  <si>
    <t xml:space="preserve"> NARSAPUR (M)</t>
  </si>
  <si>
    <t xml:space="preserve"> NIZAMPATNAM</t>
  </si>
  <si>
    <t>CREEK AT DANDO MOLLO</t>
  </si>
  <si>
    <t xml:space="preserve"> EAST GODAVARI</t>
  </si>
  <si>
    <t>TULJE BAGH CANAL</t>
  </si>
  <si>
    <t xml:space="preserve"> KRISHNA</t>
  </si>
  <si>
    <t xml:space="preserve"> ELIRU</t>
  </si>
  <si>
    <t xml:space="preserve"> ATTILI (M)</t>
  </si>
  <si>
    <t xml:space="preserve"> DIST. GANDHINAGAR.</t>
  </si>
  <si>
    <t>TAPI CANAL</t>
  </si>
  <si>
    <t xml:space="preserve"> NEAR GIDC ESTATE OF PANOLI.</t>
  </si>
  <si>
    <t>FROM NARMADA MAIN CANAL</t>
  </si>
  <si>
    <t xml:space="preserve"> GODHRA,  DIST PANCHMAHAL</t>
  </si>
  <si>
    <t>VELSAO, MAMUGAO</t>
  </si>
  <si>
    <t xml:space="preserve">GUNTATHIPPA WITH RIVES CANAL </t>
  </si>
  <si>
    <t xml:space="preserve"> VIJAYAWADA TOWN</t>
  </si>
  <si>
    <t xml:space="preserve">TULIA BAGH </t>
  </si>
  <si>
    <t xml:space="preserve"> VEMULAVADA (M)</t>
  </si>
  <si>
    <t xml:space="preserve">ALHI KHAD  </t>
  </si>
  <si>
    <t>AT VILL. NOG</t>
  </si>
  <si>
    <t>BHATIAN NALLAH D/S SARA TEXTILE</t>
  </si>
  <si>
    <t xml:space="preserve"> NALAGARH</t>
  </si>
  <si>
    <t>BHATIAN NALLAH U/S BHATIAN VILLAGE</t>
  </si>
  <si>
    <t xml:space="preserve">DHANESHAR NALLAH (U/S SAINJ WATER SUPPLY SCHEME) </t>
  </si>
  <si>
    <t>NEAR GYASI MATA MANDIR</t>
  </si>
  <si>
    <t xml:space="preserve">HALOG NALLAH </t>
  </si>
  <si>
    <t>NEAR HALOG WATER SUPPLY SCHEME</t>
  </si>
  <si>
    <t xml:space="preserve">HATHLI NALLAH LIFT WATER SUPPLY SCHEME FOR MUNICIPAL COUNCIL </t>
  </si>
  <si>
    <t>HAMIRPUR</t>
  </si>
  <si>
    <t>HURLA NALLA D/S HURLA BRIDGE,</t>
  </si>
  <si>
    <t xml:space="preserve"> DIS. KULLU</t>
  </si>
  <si>
    <t xml:space="preserve"> DIST. CHAMBA</t>
  </si>
  <si>
    <t xml:space="preserve">KALAM NALLA D/S OF MSW PROCESSING SITE </t>
  </si>
  <si>
    <t xml:space="preserve"> TEHSIL ARKI</t>
  </si>
  <si>
    <t>KUNNI PUL</t>
  </si>
  <si>
    <t xml:space="preserve">LIFT NALLAH BEFORE CONFLUENCE TO ASHWANI KHAD </t>
  </si>
  <si>
    <t>NEAR DOGRHA BRIDGE</t>
  </si>
  <si>
    <t xml:space="preserve">MACHADA NALLAH, MAJHOUTI WATER SUPPLY SCHEME </t>
  </si>
  <si>
    <t>NEAR NIRATH</t>
  </si>
  <si>
    <t xml:space="preserve">MANALSU NALLAH NEAR WATER SUPPLY SCHEME </t>
  </si>
  <si>
    <t>MANALI TOWN</t>
  </si>
  <si>
    <t xml:space="preserve">SUKHANA NALLAH AT PARWANOO </t>
  </si>
  <si>
    <t xml:space="preserve"> EXIT POINT OF H. P.</t>
  </si>
  <si>
    <t>NALA AT D/S OF AKLAI MANDIR</t>
  </si>
  <si>
    <t xml:space="preserve"> DISTRICT- SOLAPUR.</t>
  </si>
  <si>
    <t>CHIKHALI NALA MEETS GODAVARI RIVER</t>
  </si>
  <si>
    <t xml:space="preserve"> DISTRICT- NASHIK.</t>
  </si>
  <si>
    <t>PIMPAL-PANERI NALA AT RATNAGIRI NEAR FINOLEX INDUSTRIES</t>
  </si>
  <si>
    <t xml:space="preserve"> DISTRICT- RATNAGIRI.</t>
  </si>
  <si>
    <t>RIVER GODAVARI - OUTLET OF ASH POND EFFLUENTS OF M/S.NTPC</t>
  </si>
  <si>
    <t xml:space="preserve"> RAMAGUNDAM</t>
  </si>
  <si>
    <t>JAYASHANKAR BHUPALAPALLI DISTRICT</t>
  </si>
  <si>
    <t xml:space="preserve">RIVER MANERU (TRIBUTARY OF GODAVARI) </t>
  </si>
  <si>
    <t>Null</t>
  </si>
  <si>
    <t>KRISHNAPATNAM PORT</t>
  </si>
  <si>
    <t xml:space="preserve"> RANASTHALAM (M)</t>
  </si>
  <si>
    <t xml:space="preserve">OUTFALL OF M/S MATRIX LABORATORIES LTD </t>
  </si>
  <si>
    <t xml:space="preserve"> PUSAPATIREGA (M)</t>
  </si>
  <si>
    <t xml:space="preserve">CONFLUENCE OF RIVER VASHISTA GODAVARI </t>
  </si>
  <si>
    <t>FISHING HARBOUR</t>
  </si>
  <si>
    <t xml:space="preserve"> NIZAMPATNAM (V &amp; M)</t>
  </si>
  <si>
    <t xml:space="preserve">OUTFALL OF M/S. AUROBINDO PHARMA LTD. </t>
  </si>
  <si>
    <t>RANASTHALAM (M)</t>
  </si>
  <si>
    <t>OUTFALL OF M/S MATRIX LABORATORIES LTD.</t>
  </si>
  <si>
    <t xml:space="preserve">AFTER CONFLUENCE OF RIVER VASHISTA GODAVARI </t>
  </si>
  <si>
    <t xml:space="preserve">DIPLAI BEEL </t>
  </si>
  <si>
    <t>SILGARA, KOKRAJHAR</t>
  </si>
  <si>
    <t xml:space="preserve">DOLOO LAKE </t>
  </si>
  <si>
    <t>CACHAR</t>
  </si>
  <si>
    <t>ELANGABEEL SYSTEM</t>
  </si>
  <si>
    <t xml:space="preserve">HOLLUNGA BEEL </t>
  </si>
  <si>
    <t xml:space="preserve"> NEAR GAI NADI/ RIVER AT SOMARAJAN DHEMA JI</t>
  </si>
  <si>
    <t xml:space="preserve">KAMALABARI LAKE </t>
  </si>
  <si>
    <t>INSIDE KAMALABARI CHILDREN'S PARK  GELEKY</t>
  </si>
  <si>
    <t xml:space="preserve">MALINI BEEL </t>
  </si>
  <si>
    <t>NEAR INDUTRIAL AREA AT RAMNAGAR</t>
  </si>
  <si>
    <t xml:space="preserve">SAMAGURI BEEL </t>
  </si>
  <si>
    <t>IN NAGAON DISTRICT</t>
  </si>
  <si>
    <t xml:space="preserve">PARASHALI BEEL </t>
  </si>
  <si>
    <t>AT DEMORIA</t>
  </si>
  <si>
    <t xml:space="preserve">SON BEEL WATER </t>
  </si>
  <si>
    <t>AT KARIMGANJ</t>
  </si>
  <si>
    <t>BASKANDI POND</t>
  </si>
  <si>
    <t xml:space="preserve"> INSIDE THE BASKANDI MADRASA, BASKANDI, ASSAM</t>
  </si>
  <si>
    <t>NAGAON, ASSAM</t>
  </si>
  <si>
    <t>HAJO, ASSAM</t>
  </si>
  <si>
    <t xml:space="preserve"> BOKARO</t>
  </si>
  <si>
    <t xml:space="preserve"> BARU SAHIB</t>
  </si>
  <si>
    <t xml:space="preserve"> VIDISHA</t>
  </si>
  <si>
    <t xml:space="preserve"> TONK</t>
  </si>
  <si>
    <t>JAIPUR</t>
  </si>
  <si>
    <t xml:space="preserve"> KONAR NEAR SWANG COAL WASHERY</t>
  </si>
  <si>
    <t xml:space="preserve"> DAMODAR NEAR ZARANGDIH BRIDGE</t>
  </si>
  <si>
    <t xml:space="preserve"> DAMODAR NEAR ROHINI PROJECT</t>
  </si>
  <si>
    <t xml:space="preserve"> GIRI D/S KALGIDHAR TRUST</t>
  </si>
  <si>
    <t xml:space="preserve"> BANAS BISULPUR DAM</t>
  </si>
  <si>
    <t xml:space="preserve"> NEAR NEWTA DAM</t>
  </si>
  <si>
    <t xml:space="preserve"> SUTLEJ U/S LANDFILL SITE RAMPUR</t>
  </si>
  <si>
    <t xml:space="preserve"> STLUJ D/S LANDFILL SITE RAMPUR</t>
  </si>
  <si>
    <t xml:space="preserve"> SUTLEJ U/S KHAIRIAN SOLID WASTE DUMPING SITE BILASPUR</t>
  </si>
  <si>
    <t xml:space="preserve"> SUTLEJ D/S KHAIRIAN SOLID WASTE DUMPING SITE BILASPUR</t>
  </si>
  <si>
    <t xml:space="preserve"> SUTLEJ U/S CONFLUENCE WITH GANVI KHAND</t>
  </si>
  <si>
    <t xml:space="preserve"> SUTLEJ D/S CONFLUENCE WITH GANVI KHAND</t>
  </si>
  <si>
    <t xml:space="preserve"> JUMAR </t>
  </si>
  <si>
    <t xml:space="preserve"> KANKE DAM</t>
  </si>
  <si>
    <t xml:space="preserve"> AJAY </t>
  </si>
  <si>
    <t xml:space="preserve"> MASANJORE DAM</t>
  </si>
  <si>
    <t xml:space="preserve"> KONAR </t>
  </si>
  <si>
    <t xml:space="preserve"> BOKARO </t>
  </si>
  <si>
    <t xml:space="preserve"> ZARANGDIH BRIDGE</t>
  </si>
  <si>
    <t xml:space="preserve"> SANKH </t>
  </si>
  <si>
    <t xml:space="preserve"> BARAKAR </t>
  </si>
  <si>
    <t xml:space="preserve"> MAITHAN DAM</t>
  </si>
  <si>
    <t xml:space="preserve"> TONS </t>
  </si>
  <si>
    <t xml:space="preserve"> TIUNI (HIMACHAL PRADESH/UTTRA KHAND BORDER)</t>
  </si>
  <si>
    <t xml:space="preserve"> HARIPUR (U.K.)</t>
  </si>
  <si>
    <t xml:space="preserve"> GIRI </t>
  </si>
  <si>
    <t xml:space="preserve"> YASHWANT NAGAR- NEAR SHANI MANDIR</t>
  </si>
  <si>
    <t xml:space="preserve"> GIRI AFTER CONFLUENCE OF ASHWANI  </t>
  </si>
  <si>
    <t xml:space="preserve"> VILLAGE MARYOG</t>
  </si>
  <si>
    <t xml:space="preserve"> U/S CCI MINES </t>
  </si>
  <si>
    <t xml:space="preserve"> GIRI D/S S</t>
  </si>
  <si>
    <t>AUN</t>
  </si>
  <si>
    <t xml:space="preserve"> GIRI U/S LWSS </t>
  </si>
  <si>
    <t xml:space="preserve"> SAINJ</t>
  </si>
  <si>
    <t xml:space="preserve"> GIRI D/S LWSS </t>
  </si>
  <si>
    <t xml:space="preserve"> GIRI D/S CEMENT CORPOR</t>
  </si>
  <si>
    <t xml:space="preserve"> BETWA NEAR W</t>
  </si>
  <si>
    <t xml:space="preserve">ER SUPPLY INTAKE WELL </t>
  </si>
  <si>
    <t xml:space="preserve"> BETWA </t>
  </si>
  <si>
    <t xml:space="preserve"> M/S J.P. THERMAL POWER</t>
  </si>
  <si>
    <t xml:space="preserve"> BETWA D/S AFTER MIXING OF  BAIS </t>
  </si>
  <si>
    <t xml:space="preserve"> U/S NEAR ROAD BRIDGE ORCHHA</t>
  </si>
  <si>
    <t xml:space="preserve"> KANJIA ROAD BRIDGE</t>
  </si>
  <si>
    <t xml:space="preserve"> KALI SINDH </t>
  </si>
  <si>
    <t xml:space="preserve"> ANICUT OF M/S CFCL GADEPAN</t>
  </si>
  <si>
    <t xml:space="preserve"> BAROD ROAD BRIDGE</t>
  </si>
  <si>
    <t xml:space="preserve"> CHAMBAL ENTERING IN RAJASTHAN </t>
  </si>
  <si>
    <t xml:space="preserve"> CHAMBAL </t>
  </si>
  <si>
    <t xml:space="preserve"> TAL VILLAGE NEAR BRIDGE</t>
  </si>
  <si>
    <t xml:space="preserve"> SUTLEJ </t>
  </si>
  <si>
    <t xml:space="preserve"> U/S T</t>
  </si>
  <si>
    <t xml:space="preserve"> NANGAL (H.P.)</t>
  </si>
  <si>
    <t xml:space="preserve"> U/S SLAPPER</t>
  </si>
  <si>
    <t xml:space="preserve"> D/S SLAPPER</t>
  </si>
  <si>
    <t xml:space="preserve"> D/S BHAKHRA</t>
  </si>
  <si>
    <t xml:space="preserve"> NOORPUR BEDI ROAD (PUNJAB)</t>
  </si>
  <si>
    <t xml:space="preserve"> D/S KIR</t>
  </si>
  <si>
    <t xml:space="preserve"> </t>
  </si>
  <si>
    <t xml:space="preserve"> BIT MESRA, RANCHI</t>
  </si>
  <si>
    <t xml:space="preserve"> TENUGH DAM</t>
  </si>
  <si>
    <t xml:space="preserve"> BOLBA, JHARKHAND</t>
  </si>
  <si>
    <t xml:space="preserve"> NK AREA,  PO-DAKRA</t>
  </si>
  <si>
    <t>ION OF INDIA,  BANGRAN BRIDGE</t>
  </si>
  <si>
    <t xml:space="preserve"> AGASOD,  BINA</t>
  </si>
  <si>
    <t xml:space="preserve"> CHARANTIRGH, VIDISHA</t>
  </si>
  <si>
    <t xml:space="preserve"> GANDHI SAGAR DAM, CHITTORGARH</t>
  </si>
  <si>
    <t>KAKINADA (1KM AWAY FROM JETTY)</t>
  </si>
  <si>
    <t xml:space="preserve"> NEAR DEEP WATER PORT</t>
  </si>
  <si>
    <t xml:space="preserve"> NEAR KUMBHABHISHEKAM TEMPALE</t>
  </si>
  <si>
    <t>AMBERPET STP (339 MLD) - OUTLET</t>
  </si>
  <si>
    <t>AMBERPET (V&amp;M), HYDERABAD</t>
  </si>
  <si>
    <t>NEAR HUDA/ HSVP WATER WORKS</t>
  </si>
  <si>
    <t>BASAI, GURUGRAM</t>
  </si>
  <si>
    <t>WATER WORKS</t>
  </si>
  <si>
    <t>GURGAON</t>
  </si>
  <si>
    <t xml:space="preserve"> DAMODAR </t>
  </si>
  <si>
    <t>NEAR TELMUCHO BRIDGE</t>
  </si>
  <si>
    <t xml:space="preserve"> GARGA</t>
  </si>
  <si>
    <t xml:space="preserve"> NEAR TELMUCHO BRIDGE</t>
  </si>
  <si>
    <t>D/S RAJGARH TOWN</t>
  </si>
  <si>
    <t>U/S CHAILLA</t>
  </si>
  <si>
    <t xml:space="preserve">avg_temperature </t>
  </si>
  <si>
    <t>avg_dissolved</t>
  </si>
  <si>
    <t>avg_ph</t>
  </si>
  <si>
    <t>avg_conductivity_mhocm</t>
  </si>
  <si>
    <t>avg_bod_mgl</t>
  </si>
  <si>
    <t>avg_nitraten_mgl</t>
  </si>
  <si>
    <t>avg_fecal_coliform_mpn100ml</t>
  </si>
  <si>
    <t>avg_fecal_coliform_mpn100ml2</t>
  </si>
  <si>
    <t>wq_score_do</t>
  </si>
  <si>
    <t>wq_score_bod</t>
  </si>
  <si>
    <t>wq_score_ph</t>
  </si>
  <si>
    <t>wq_score_tcol</t>
  </si>
  <si>
    <t>wq_score_cond</t>
  </si>
  <si>
    <t>WQI</t>
  </si>
  <si>
    <t>WQI_Category</t>
  </si>
  <si>
    <t>Excellent</t>
  </si>
  <si>
    <t>Good</t>
  </si>
  <si>
    <t>Moderate</t>
  </si>
  <si>
    <t>Row Labels</t>
  </si>
  <si>
    <t>(blank)</t>
  </si>
  <si>
    <t>Grand Total</t>
  </si>
  <si>
    <t>Count of WQI_Category</t>
  </si>
  <si>
    <t>Count of Type Water Body</t>
  </si>
  <si>
    <t>Resource</t>
  </si>
  <si>
    <t>percentage</t>
  </si>
  <si>
    <t>Sum of WQI</t>
  </si>
  <si>
    <t>Average of avg_ph</t>
  </si>
  <si>
    <t xml:space="preserve">Average temperature </t>
  </si>
  <si>
    <t>Average dissolved</t>
  </si>
  <si>
    <t>Average nitraten_mgl</t>
  </si>
  <si>
    <t>Average ph</t>
  </si>
  <si>
    <t>Average of WQI</t>
  </si>
  <si>
    <t xml:space="preserve">WQI Category </t>
  </si>
  <si>
    <t>Values</t>
  </si>
  <si>
    <t>WATER QUALITY DASHBOARD</t>
  </si>
  <si>
    <t>Avg. WQI</t>
  </si>
  <si>
    <t>Total Monitoring Stations</t>
  </si>
  <si>
    <t xml:space="preserve">Avg temperature </t>
  </si>
  <si>
    <t>Avg nitraten_mgl</t>
  </si>
  <si>
    <t>Avg dissolved</t>
  </si>
  <si>
    <t>Avg conductivity_mhocm</t>
  </si>
  <si>
    <t>WTP (RAW WATER)</t>
  </si>
  <si>
    <t>Avg bod_mgl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</si>
</sst>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
      <sz val="14"/>
      <color theme="1"/>
      <name val="Calibri"/>
      <family val="2"/>
      <scheme val="minor"/>
    </font>
    <font>
      <b/>
      <sz val="20"/>
      <color theme="1"/>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8"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0" borderId="0" xfId="0" applyAlignment="1">
      <alignment horizontal="left"/>
    </xf>
    <xf numFmtId="0" fontId="0" fillId="33" borderId="10" xfId="0" applyFill="1" applyBorder="1" applyAlignment="1">
      <alignment horizontal="left"/>
    </xf>
    <xf numFmtId="0" fontId="0" fillId="0" borderId="10" xfId="0" applyBorder="1" applyAlignment="1">
      <alignment horizontal="left"/>
    </xf>
    <xf numFmtId="0" fontId="0" fillId="34" borderId="0" xfId="0" applyFill="1" applyAlignment="1">
      <alignment horizontal="left"/>
    </xf>
    <xf numFmtId="2" fontId="0" fillId="0" borderId="0" xfId="0" applyNumberFormat="1" applyAlignment="1">
      <alignment horizontal="left"/>
    </xf>
    <xf numFmtId="2" fontId="0" fillId="34" borderId="0" xfId="0" applyNumberFormat="1" applyFill="1" applyAlignment="1">
      <alignment horizontal="left"/>
    </xf>
    <xf numFmtId="164" fontId="0" fillId="0" borderId="0" xfId="0" applyNumberFormat="1"/>
    <xf numFmtId="2" fontId="0" fillId="0" borderId="0" xfId="0" applyNumberFormat="1"/>
    <xf numFmtId="165" fontId="0" fillId="0" borderId="0" xfId="0" applyNumberFormat="1"/>
    <xf numFmtId="0" fontId="0" fillId="0" borderId="0" xfId="0" pivotButton="1"/>
    <xf numFmtId="165" fontId="0" fillId="0" borderId="0" xfId="0" applyNumberFormat="1" applyAlignment="1">
      <alignment horizontal="left"/>
    </xf>
    <xf numFmtId="12" fontId="0" fillId="0" borderId="0" xfId="0" applyNumberFormat="1"/>
    <xf numFmtId="10" fontId="0" fillId="0" borderId="0" xfId="0" applyNumberFormat="1"/>
    <xf numFmtId="0" fontId="0" fillId="0" borderId="11" xfId="0" applyBorder="1"/>
    <xf numFmtId="0" fontId="0" fillId="0" borderId="11" xfId="0" applyBorder="1" applyAlignment="1">
      <alignment horizontal="left"/>
    </xf>
    <xf numFmtId="10" fontId="0" fillId="0" borderId="11" xfId="0" applyNumberFormat="1" applyBorder="1"/>
    <xf numFmtId="0" fontId="19" fillId="0" borderId="16" xfId="0" applyFont="1" applyBorder="1" applyAlignment="1">
      <alignment wrapText="1"/>
    </xf>
    <xf numFmtId="0" fontId="19" fillId="0" borderId="17" xfId="0" applyFont="1" applyBorder="1" applyAlignment="1">
      <alignment wrapText="1"/>
    </xf>
    <xf numFmtId="0" fontId="21" fillId="0" borderId="15" xfId="0" applyFont="1" applyBorder="1" applyAlignment="1">
      <alignment wrapText="1"/>
    </xf>
    <xf numFmtId="0" fontId="21" fillId="0" borderId="14" xfId="0" applyFont="1" applyBorder="1"/>
    <xf numFmtId="0" fontId="18" fillId="35" borderId="0" xfId="0" applyFont="1" applyFill="1" applyAlignment="1">
      <alignment horizontal="center"/>
    </xf>
    <xf numFmtId="0" fontId="0" fillId="35" borderId="0" xfId="0" applyFill="1" applyAlignment="1">
      <alignment horizontal="center"/>
    </xf>
    <xf numFmtId="2" fontId="20" fillId="0" borderId="12" xfId="0" applyNumberFormat="1" applyFont="1" applyBorder="1" applyAlignment="1">
      <alignment horizontal="center"/>
    </xf>
    <xf numFmtId="2" fontId="20" fillId="0" borderId="13" xfId="0" applyNumberFormat="1" applyFont="1" applyBorder="1" applyAlignment="1">
      <alignment horizontal="center"/>
    </xf>
    <xf numFmtId="2" fontId="20" fillId="0" borderId="14" xfId="0" applyNumberFormat="1" applyFont="1" applyBorder="1" applyAlignment="1">
      <alignment horizontal="center"/>
    </xf>
    <xf numFmtId="2" fontId="20" fillId="0" borderId="15" xfId="0" applyNumberFormat="1" applyFont="1" applyBorder="1" applyAlignment="1">
      <alignment horizontal="center"/>
    </xf>
    <xf numFmtId="2" fontId="20" fillId="0" borderId="16" xfId="0" applyNumberFormat="1" applyFont="1" applyBorder="1" applyAlignment="1">
      <alignment horizontal="center"/>
    </xf>
    <xf numFmtId="2" fontId="20" fillId="0" borderId="17" xfId="0" applyNumberFormat="1"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14" xfId="0" applyFont="1" applyBorder="1" applyAlignment="1">
      <alignment horizontal="center"/>
    </xf>
    <xf numFmtId="0" fontId="20" fillId="0" borderId="15"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0.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 of Water Bodies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Tables'!$E$3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06-4691-A07A-C4BEBBC12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06-4691-A07A-C4BEBBC129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06-4691-A07A-C4BEBBC129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06-4691-A07A-C4BEBBC129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06-4691-A07A-C4BEBBC129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D06-4691-A07A-C4BEBBC1294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D06-4691-A07A-C4BEBBC1294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D06-4691-A07A-C4BEBBC1294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D06-4691-A07A-C4BEBBC1294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D06-4691-A07A-C4BEBBC1294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D06-4691-A07A-C4BEBBC129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Tables'!$D$4:$D$14</c:f>
              <c:strCache>
                <c:ptCount val="11"/>
                <c:pt idx="0">
                  <c:v>BEACH</c:v>
                </c:pt>
                <c:pt idx="1">
                  <c:v>CANAL</c:v>
                </c:pt>
                <c:pt idx="2">
                  <c:v>CREEK</c:v>
                </c:pt>
                <c:pt idx="3">
                  <c:v>DRAIN</c:v>
                </c:pt>
                <c:pt idx="4">
                  <c:v>LAKE</c:v>
                </c:pt>
                <c:pt idx="5">
                  <c:v>MARINE</c:v>
                </c:pt>
                <c:pt idx="6">
                  <c:v>POND</c:v>
                </c:pt>
                <c:pt idx="7">
                  <c:v>RIVER</c:v>
                </c:pt>
                <c:pt idx="8">
                  <c:v>SEA</c:v>
                </c:pt>
                <c:pt idx="9">
                  <c:v>STP</c:v>
                </c:pt>
                <c:pt idx="10">
                  <c:v>WATER TREATMENT PLANT (RAW WATER)</c:v>
                </c:pt>
              </c:strCache>
            </c:strRef>
          </c:cat>
          <c:val>
            <c:numRef>
              <c:f>'Pivot Tables'!$E$4:$E$14</c:f>
              <c:numCache>
                <c:formatCode>0.00%</c:formatCode>
                <c:ptCount val="11"/>
                <c:pt idx="0">
                  <c:v>9.7938144329896906E-2</c:v>
                </c:pt>
                <c:pt idx="1">
                  <c:v>0.12371134020618557</c:v>
                </c:pt>
                <c:pt idx="2">
                  <c:v>5.1546391752577319E-3</c:v>
                </c:pt>
                <c:pt idx="3">
                  <c:v>0.18041237113402062</c:v>
                </c:pt>
                <c:pt idx="4">
                  <c:v>0.1134020618556701</c:v>
                </c:pt>
                <c:pt idx="5">
                  <c:v>5.1546391752577317E-2</c:v>
                </c:pt>
                <c:pt idx="6">
                  <c:v>0.12371134020618557</c:v>
                </c:pt>
                <c:pt idx="7">
                  <c:v>0.25773195876288657</c:v>
                </c:pt>
                <c:pt idx="8">
                  <c:v>2.0618556701030927E-2</c:v>
                </c:pt>
                <c:pt idx="9">
                  <c:v>1.0309278350515464E-2</c:v>
                </c:pt>
                <c:pt idx="10">
                  <c:v>1.5463917525773196E-2</c:v>
                </c:pt>
              </c:numCache>
            </c:numRef>
          </c:val>
          <c:extLst>
            <c:ext xmlns:c16="http://schemas.microsoft.com/office/drawing/2014/chart" uri="{C3380CC4-5D6E-409C-BE32-E72D297353CC}">
              <c16:uniqueId val="{00000000-622F-4611-B9D8-D4A80D443E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[Indian_water_data.xlsx]Pivot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WQI by Type of Water Body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45218662735653E-2"/>
          <c:y val="0.18406601717158233"/>
          <c:w val="0.96673408118505733"/>
          <c:h val="0.58255230808013403"/>
        </c:manualLayout>
      </c:layout>
      <c:barChart>
        <c:barDir val="col"/>
        <c:grouping val="clustered"/>
        <c:varyColors val="0"/>
        <c:ser>
          <c:idx val="0"/>
          <c:order val="0"/>
          <c:tx>
            <c:strRef>
              <c:f>'Pivot Tables'!$B$20</c:f>
              <c:strCache>
                <c:ptCount val="1"/>
                <c:pt idx="0">
                  <c:v>Average dissolved</c:v>
                </c:pt>
              </c:strCache>
            </c:strRef>
          </c:tx>
          <c:spPr>
            <a:solidFill>
              <a:schemeClr val="accent1"/>
            </a:solidFill>
            <a:ln>
              <a:noFill/>
            </a:ln>
            <a:effectLst/>
          </c:spPr>
          <c:invertIfNegative val="0"/>
          <c:cat>
            <c:strRef>
              <c:f>'Pivot Tables'!$A$21:$A$33</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Tables'!$B$21:$B$33</c:f>
              <c:numCache>
                <c:formatCode>General</c:formatCode>
                <c:ptCount val="12"/>
                <c:pt idx="0">
                  <c:v>6.0868421052631563</c:v>
                </c:pt>
                <c:pt idx="1">
                  <c:v>5.3565217391304341</c:v>
                </c:pt>
                <c:pt idx="2">
                  <c:v>6.1</c:v>
                </c:pt>
                <c:pt idx="3">
                  <c:v>7.1828571428571424</c:v>
                </c:pt>
                <c:pt idx="4">
                  <c:v>5.5704545454545435</c:v>
                </c:pt>
                <c:pt idx="5">
                  <c:v>5.91</c:v>
                </c:pt>
                <c:pt idx="6">
                  <c:v>6.5083333333333337</c:v>
                </c:pt>
                <c:pt idx="7">
                  <c:v>7.6950000000000003</c:v>
                </c:pt>
                <c:pt idx="8">
                  <c:v>5.7625000000000002</c:v>
                </c:pt>
                <c:pt idx="9">
                  <c:v>2.95</c:v>
                </c:pt>
                <c:pt idx="10">
                  <c:v>6.7166666666666659</c:v>
                </c:pt>
              </c:numCache>
            </c:numRef>
          </c:val>
          <c:extLst>
            <c:ext xmlns:c16="http://schemas.microsoft.com/office/drawing/2014/chart" uri="{C3380CC4-5D6E-409C-BE32-E72D297353CC}">
              <c16:uniqueId val="{00000000-B5E2-4491-8671-A7E1C42887EF}"/>
            </c:ext>
          </c:extLst>
        </c:ser>
        <c:ser>
          <c:idx val="1"/>
          <c:order val="1"/>
          <c:tx>
            <c:strRef>
              <c:f>'Pivot Tables'!$C$20</c:f>
              <c:strCache>
                <c:ptCount val="1"/>
                <c:pt idx="0">
                  <c:v>Average temperature </c:v>
                </c:pt>
              </c:strCache>
            </c:strRef>
          </c:tx>
          <c:spPr>
            <a:solidFill>
              <a:schemeClr val="accent2"/>
            </a:solidFill>
            <a:ln>
              <a:noFill/>
            </a:ln>
            <a:effectLst/>
          </c:spPr>
          <c:invertIfNegative val="0"/>
          <c:cat>
            <c:strRef>
              <c:f>'Pivot Tables'!$A$21:$A$33</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Tables'!$C$21:$C$33</c:f>
              <c:numCache>
                <c:formatCode>General</c:formatCode>
                <c:ptCount val="12"/>
                <c:pt idx="0">
                  <c:v>27.184210526315791</c:v>
                </c:pt>
                <c:pt idx="1">
                  <c:v>57.625</c:v>
                </c:pt>
                <c:pt idx="2">
                  <c:v>28.5</c:v>
                </c:pt>
                <c:pt idx="3">
                  <c:v>15.971428571428572</c:v>
                </c:pt>
                <c:pt idx="4">
                  <c:v>25.522727272727273</c:v>
                </c:pt>
                <c:pt idx="5">
                  <c:v>24.75</c:v>
                </c:pt>
                <c:pt idx="6">
                  <c:v>27.1875</c:v>
                </c:pt>
                <c:pt idx="7">
                  <c:v>20.119000000000003</c:v>
                </c:pt>
                <c:pt idx="8">
                  <c:v>25.875</c:v>
                </c:pt>
                <c:pt idx="9">
                  <c:v>30</c:v>
                </c:pt>
                <c:pt idx="10">
                  <c:v>25.666666666666668</c:v>
                </c:pt>
              </c:numCache>
            </c:numRef>
          </c:val>
          <c:extLst>
            <c:ext xmlns:c16="http://schemas.microsoft.com/office/drawing/2014/chart" uri="{C3380CC4-5D6E-409C-BE32-E72D297353CC}">
              <c16:uniqueId val="{00000001-B5E2-4491-8671-A7E1C42887EF}"/>
            </c:ext>
          </c:extLst>
        </c:ser>
        <c:ser>
          <c:idx val="2"/>
          <c:order val="2"/>
          <c:tx>
            <c:strRef>
              <c:f>'Pivot Tables'!$D$20</c:f>
              <c:strCache>
                <c:ptCount val="1"/>
                <c:pt idx="0">
                  <c:v>Average nitraten_mgl</c:v>
                </c:pt>
              </c:strCache>
            </c:strRef>
          </c:tx>
          <c:spPr>
            <a:solidFill>
              <a:schemeClr val="accent3"/>
            </a:solidFill>
            <a:ln>
              <a:noFill/>
            </a:ln>
            <a:effectLst/>
          </c:spPr>
          <c:invertIfNegative val="0"/>
          <c:cat>
            <c:strRef>
              <c:f>'Pivot Tables'!$A$21:$A$33</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Tables'!$D$21:$D$33</c:f>
              <c:numCache>
                <c:formatCode>General</c:formatCode>
                <c:ptCount val="12"/>
                <c:pt idx="0">
                  <c:v>0.87684210526315753</c:v>
                </c:pt>
                <c:pt idx="1">
                  <c:v>1.4260869565217378</c:v>
                </c:pt>
                <c:pt idx="2">
                  <c:v>2.0499999999999998</c:v>
                </c:pt>
                <c:pt idx="3">
                  <c:v>2.7599999999999989</c:v>
                </c:pt>
                <c:pt idx="4">
                  <c:v>1.3499999999999994</c:v>
                </c:pt>
                <c:pt idx="5">
                  <c:v>1.0674999999999988</c:v>
                </c:pt>
                <c:pt idx="6">
                  <c:v>1.1250000000000002</c:v>
                </c:pt>
                <c:pt idx="7">
                  <c:v>1.8159999999999987</c:v>
                </c:pt>
                <c:pt idx="8">
                  <c:v>2.1387499999999999</c:v>
                </c:pt>
                <c:pt idx="9">
                  <c:v>3.375</c:v>
                </c:pt>
                <c:pt idx="10">
                  <c:v>0.3</c:v>
                </c:pt>
              </c:numCache>
            </c:numRef>
          </c:val>
          <c:extLst>
            <c:ext xmlns:c16="http://schemas.microsoft.com/office/drawing/2014/chart" uri="{C3380CC4-5D6E-409C-BE32-E72D297353CC}">
              <c16:uniqueId val="{00000002-B5E2-4491-8671-A7E1C42887EF}"/>
            </c:ext>
          </c:extLst>
        </c:ser>
        <c:ser>
          <c:idx val="3"/>
          <c:order val="3"/>
          <c:tx>
            <c:strRef>
              <c:f>'Pivot Tables'!$E$20</c:f>
              <c:strCache>
                <c:ptCount val="1"/>
                <c:pt idx="0">
                  <c:v>Average ph</c:v>
                </c:pt>
              </c:strCache>
            </c:strRef>
          </c:tx>
          <c:spPr>
            <a:solidFill>
              <a:schemeClr val="accent4"/>
            </a:solidFill>
            <a:ln>
              <a:noFill/>
            </a:ln>
            <a:effectLst/>
          </c:spPr>
          <c:invertIfNegative val="0"/>
          <c:cat>
            <c:strRef>
              <c:f>'Pivot Tables'!$A$21:$A$33</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Tables'!$E$21:$E$33</c:f>
              <c:numCache>
                <c:formatCode>General</c:formatCode>
                <c:ptCount val="12"/>
                <c:pt idx="0">
                  <c:v>7.7342105263157892</c:v>
                </c:pt>
                <c:pt idx="1">
                  <c:v>7.4166666666666643</c:v>
                </c:pt>
                <c:pt idx="2">
                  <c:v>7.15</c:v>
                </c:pt>
                <c:pt idx="3">
                  <c:v>7.7399999999999993</c:v>
                </c:pt>
                <c:pt idx="4">
                  <c:v>7.2113636363636378</c:v>
                </c:pt>
                <c:pt idx="5">
                  <c:v>7.7450000000000001</c:v>
                </c:pt>
                <c:pt idx="6">
                  <c:v>7.2249999999999988</c:v>
                </c:pt>
                <c:pt idx="7">
                  <c:v>7.745899999999998</c:v>
                </c:pt>
                <c:pt idx="8">
                  <c:v>7.6374999999999975</c:v>
                </c:pt>
                <c:pt idx="9">
                  <c:v>7.4249999999999998</c:v>
                </c:pt>
                <c:pt idx="10">
                  <c:v>7.4333333333333336</c:v>
                </c:pt>
              </c:numCache>
            </c:numRef>
          </c:val>
          <c:extLst>
            <c:ext xmlns:c16="http://schemas.microsoft.com/office/drawing/2014/chart" uri="{C3380CC4-5D6E-409C-BE32-E72D297353CC}">
              <c16:uniqueId val="{00000003-B5E2-4491-8671-A7E1C42887EF}"/>
            </c:ext>
          </c:extLst>
        </c:ser>
        <c:dLbls>
          <c:showLegendKey val="0"/>
          <c:showVal val="0"/>
          <c:showCatName val="0"/>
          <c:showSerName val="0"/>
          <c:showPercent val="0"/>
          <c:showBubbleSize val="0"/>
        </c:dLbls>
        <c:gapWidth val="219"/>
        <c:overlap val="-27"/>
        <c:axId val="733532399"/>
        <c:axId val="733531439"/>
      </c:barChart>
      <c:catAx>
        <c:axId val="73353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31439"/>
        <c:crosses val="autoZero"/>
        <c:auto val="1"/>
        <c:lblAlgn val="ctr"/>
        <c:lblOffset val="100"/>
        <c:noMultiLvlLbl val="0"/>
      </c:catAx>
      <c:valAx>
        <c:axId val="73353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3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[Indian_water_data.xlsx]Pivot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WQI</a:t>
            </a:r>
            <a:r>
              <a:rPr lang="en-US" b="1" baseline="0"/>
              <a:t> By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Tables'!$B$39</c:f>
              <c:strCache>
                <c:ptCount val="1"/>
                <c:pt idx="0">
                  <c:v>Total</c:v>
                </c:pt>
              </c:strCache>
            </c:strRef>
          </c:tx>
          <c:spPr>
            <a:solidFill>
              <a:schemeClr val="accent1"/>
            </a:solidFill>
            <a:ln>
              <a:noFill/>
            </a:ln>
            <a:effectLst/>
          </c:spPr>
          <c:invertIfNegative val="0"/>
          <c:cat>
            <c:strRef>
              <c:f>'Pivot Tables'!$A$40:$A$58</c:f>
              <c:strCache>
                <c:ptCount val="18"/>
                <c:pt idx="0">
                  <c:v>ANDHRA PRADESH</c:v>
                </c:pt>
                <c:pt idx="1">
                  <c:v>ASSAM</c:v>
                </c:pt>
                <c:pt idx="2">
                  <c:v>DELHI</c:v>
                </c:pt>
                <c:pt idx="3">
                  <c:v>GOA</c:v>
                </c:pt>
                <c:pt idx="4">
                  <c:v>GUJARAT</c:v>
                </c:pt>
                <c:pt idx="5">
                  <c:v>HARYANA</c:v>
                </c:pt>
                <c:pt idx="6">
                  <c:v>HIMACHAL PRADESH</c:v>
                </c:pt>
                <c:pt idx="7">
                  <c:v>JHARKHAND</c:v>
                </c:pt>
                <c:pt idx="8">
                  <c:v>MADHYA PRADESH</c:v>
                </c:pt>
                <c:pt idx="9">
                  <c:v>MAHARASHTRA</c:v>
                </c:pt>
                <c:pt idx="10">
                  <c:v>ODISHA</c:v>
                </c:pt>
                <c:pt idx="11">
                  <c:v>PUNJAB</c:v>
                </c:pt>
                <c:pt idx="12">
                  <c:v>RAJASTHAN</c:v>
                </c:pt>
                <c:pt idx="13">
                  <c:v>TAMIL NADU</c:v>
                </c:pt>
                <c:pt idx="14">
                  <c:v>TELANGANA</c:v>
                </c:pt>
                <c:pt idx="15">
                  <c:v>UTTAR PRADESH</c:v>
                </c:pt>
                <c:pt idx="16">
                  <c:v>UTTARAKHAND</c:v>
                </c:pt>
                <c:pt idx="17">
                  <c:v>(blank)</c:v>
                </c:pt>
              </c:strCache>
            </c:strRef>
          </c:cat>
          <c:val>
            <c:numRef>
              <c:f>'Pivot Tables'!$B$40:$B$58</c:f>
              <c:numCache>
                <c:formatCode>General</c:formatCode>
                <c:ptCount val="18"/>
                <c:pt idx="0">
                  <c:v>17.957957957957909</c:v>
                </c:pt>
                <c:pt idx="1">
                  <c:v>16.068357487922675</c:v>
                </c:pt>
                <c:pt idx="2">
                  <c:v>38.637037037036997</c:v>
                </c:pt>
                <c:pt idx="3">
                  <c:v>16.193595679012311</c:v>
                </c:pt>
                <c:pt idx="4">
                  <c:v>0.46296296296296274</c:v>
                </c:pt>
                <c:pt idx="5">
                  <c:v>16.629629629629601</c:v>
                </c:pt>
                <c:pt idx="6">
                  <c:v>10.793650793650775</c:v>
                </c:pt>
                <c:pt idx="7">
                  <c:v>0.81018518518518501</c:v>
                </c:pt>
                <c:pt idx="8">
                  <c:v>13.606635802469118</c:v>
                </c:pt>
                <c:pt idx="9">
                  <c:v>33.721810699588431</c:v>
                </c:pt>
                <c:pt idx="10">
                  <c:v>44.6111111111111</c:v>
                </c:pt>
                <c:pt idx="11">
                  <c:v>2.7839506172839501</c:v>
                </c:pt>
                <c:pt idx="12">
                  <c:v>18.893086419753036</c:v>
                </c:pt>
                <c:pt idx="13">
                  <c:v>56.2777777777777</c:v>
                </c:pt>
                <c:pt idx="14">
                  <c:v>36.120576131687237</c:v>
                </c:pt>
                <c:pt idx="15">
                  <c:v>1.94444444444444</c:v>
                </c:pt>
                <c:pt idx="16">
                  <c:v>11.1111111111111</c:v>
                </c:pt>
              </c:numCache>
            </c:numRef>
          </c:val>
          <c:extLst>
            <c:ext xmlns:c16="http://schemas.microsoft.com/office/drawing/2014/chart" uri="{C3380CC4-5D6E-409C-BE32-E72D297353CC}">
              <c16:uniqueId val="{00000000-BB3F-48A1-A836-7AB150EF33C2}"/>
            </c:ext>
          </c:extLst>
        </c:ser>
        <c:dLbls>
          <c:showLegendKey val="0"/>
          <c:showVal val="0"/>
          <c:showCatName val="0"/>
          <c:showSerName val="0"/>
          <c:showPercent val="0"/>
          <c:showBubbleSize val="0"/>
        </c:dLbls>
        <c:gapWidth val="150"/>
        <c:overlap val="100"/>
        <c:axId val="1093514607"/>
        <c:axId val="1093515087"/>
      </c:barChart>
      <c:catAx>
        <c:axId val="10935146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515087"/>
        <c:crosses val="autoZero"/>
        <c:auto val="1"/>
        <c:lblAlgn val="ctr"/>
        <c:lblOffset val="100"/>
        <c:noMultiLvlLbl val="0"/>
      </c:catAx>
      <c:valAx>
        <c:axId val="10935150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51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a:t>
            </a:r>
            <a:r>
              <a:rPr lang="en-US" b="1" baseline="0"/>
              <a:t> of WQI Categories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Tables'!$D$61</c:f>
              <c:strCache>
                <c:ptCount val="1"/>
                <c:pt idx="0">
                  <c:v>Values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67-4D4A-8F0A-C5019292E7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67-4D4A-8F0A-C5019292E7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67-4D4A-8F0A-C5019292E7A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Tables'!$C$62:$C$64</c:f>
              <c:strCache>
                <c:ptCount val="3"/>
                <c:pt idx="0">
                  <c:v>Excellent</c:v>
                </c:pt>
                <c:pt idx="1">
                  <c:v>Good</c:v>
                </c:pt>
                <c:pt idx="2">
                  <c:v>Moderate</c:v>
                </c:pt>
              </c:strCache>
            </c:strRef>
          </c:cat>
          <c:val>
            <c:numRef>
              <c:f>'Pivot Tables'!$D$62:$D$64</c:f>
              <c:numCache>
                <c:formatCode>0.00%</c:formatCode>
                <c:ptCount val="3"/>
                <c:pt idx="0">
                  <c:v>0.74742268041237114</c:v>
                </c:pt>
                <c:pt idx="1">
                  <c:v>6.1855670103092786E-2</c:v>
                </c:pt>
                <c:pt idx="2">
                  <c:v>0.19072164948453607</c:v>
                </c:pt>
              </c:numCache>
            </c:numRef>
          </c:val>
          <c:extLst>
            <c:ext xmlns:c16="http://schemas.microsoft.com/office/drawing/2014/chart" uri="{C3380CC4-5D6E-409C-BE32-E72D297353CC}">
              <c16:uniqueId val="{00000000-75F1-45E6-BFE8-71F154BDC389}"/>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[Indian_water_data.xlsx]Pivot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a:t>
            </a:r>
            <a:r>
              <a:rPr lang="en-US" b="1" baseline="0"/>
              <a:t> Trend of WQI</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Tables'!$B$71</c:f>
              <c:strCache>
                <c:ptCount val="1"/>
                <c:pt idx="0">
                  <c:v>Total</c:v>
                </c:pt>
              </c:strCache>
            </c:strRef>
          </c:tx>
          <c:spPr>
            <a:ln w="28575" cap="rnd">
              <a:solidFill>
                <a:schemeClr val="accent1"/>
              </a:solidFill>
              <a:round/>
            </a:ln>
            <a:effectLst/>
          </c:spPr>
          <c:marker>
            <c:symbol val="none"/>
          </c:marker>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Tables'!$A$72:$A$76</c:f>
              <c:strCache>
                <c:ptCount val="4"/>
                <c:pt idx="0">
                  <c:v>2021</c:v>
                </c:pt>
                <c:pt idx="1">
                  <c:v>2022</c:v>
                </c:pt>
                <c:pt idx="2">
                  <c:v>2023</c:v>
                </c:pt>
                <c:pt idx="3">
                  <c:v>(blank)</c:v>
                </c:pt>
              </c:strCache>
            </c:strRef>
          </c:cat>
          <c:val>
            <c:numRef>
              <c:f>'Pivot Tables'!$B$72:$B$76</c:f>
              <c:numCache>
                <c:formatCode>General</c:formatCode>
                <c:ptCount val="4"/>
                <c:pt idx="0">
                  <c:v>594.31851851851729</c:v>
                </c:pt>
                <c:pt idx="1">
                  <c:v>547.18395061728233</c:v>
                </c:pt>
                <c:pt idx="2">
                  <c:v>1743.1753086419724</c:v>
                </c:pt>
              </c:numCache>
            </c:numRef>
          </c:val>
          <c:smooth val="0"/>
          <c:extLst>
            <c:ext xmlns:c16="http://schemas.microsoft.com/office/drawing/2014/chart" uri="{C3380CC4-5D6E-409C-BE32-E72D297353CC}">
              <c16:uniqueId val="{00000000-517C-4DDA-9868-8570B86BF047}"/>
            </c:ext>
          </c:extLst>
        </c:ser>
        <c:dLbls>
          <c:showLegendKey val="0"/>
          <c:showVal val="0"/>
          <c:showCatName val="0"/>
          <c:showSerName val="0"/>
          <c:showPercent val="0"/>
          <c:showBubbleSize val="0"/>
        </c:dLbls>
        <c:smooth val="0"/>
        <c:axId val="1084408751"/>
        <c:axId val="1084409231"/>
      </c:lineChart>
      <c:catAx>
        <c:axId val="108440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09231"/>
        <c:crosses val="autoZero"/>
        <c:auto val="1"/>
        <c:lblAlgn val="ctr"/>
        <c:lblOffset val="100"/>
        <c:noMultiLvlLbl val="0"/>
      </c:catAx>
      <c:valAx>
        <c:axId val="1084409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0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[Indian_water_data.xlsx]Pivot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Comparison of Major Pollutants by Water Body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Tables'!$B$85</c:f>
              <c:strCache>
                <c:ptCount val="1"/>
                <c:pt idx="0">
                  <c:v>Avg temperature </c:v>
                </c:pt>
              </c:strCache>
            </c:strRef>
          </c:tx>
          <c:spPr>
            <a:solidFill>
              <a:schemeClr val="accent1"/>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Tables'!$B$86:$B$98</c:f>
              <c:numCache>
                <c:formatCode>General</c:formatCode>
                <c:ptCount val="12"/>
                <c:pt idx="0">
                  <c:v>27.184210526315791</c:v>
                </c:pt>
                <c:pt idx="1">
                  <c:v>57.625</c:v>
                </c:pt>
                <c:pt idx="2">
                  <c:v>28.5</c:v>
                </c:pt>
                <c:pt idx="3">
                  <c:v>15.971428571428572</c:v>
                </c:pt>
                <c:pt idx="4">
                  <c:v>25.522727272727273</c:v>
                </c:pt>
                <c:pt idx="5">
                  <c:v>24.75</c:v>
                </c:pt>
                <c:pt idx="6">
                  <c:v>27.1875</c:v>
                </c:pt>
                <c:pt idx="7">
                  <c:v>20.119000000000003</c:v>
                </c:pt>
                <c:pt idx="8">
                  <c:v>25.875</c:v>
                </c:pt>
                <c:pt idx="9">
                  <c:v>30</c:v>
                </c:pt>
                <c:pt idx="10">
                  <c:v>25.666666666666668</c:v>
                </c:pt>
              </c:numCache>
            </c:numRef>
          </c:val>
          <c:extLst>
            <c:ext xmlns:c16="http://schemas.microsoft.com/office/drawing/2014/chart" uri="{C3380CC4-5D6E-409C-BE32-E72D297353CC}">
              <c16:uniqueId val="{00000000-C275-40D1-8F78-465970BDC758}"/>
            </c:ext>
          </c:extLst>
        </c:ser>
        <c:ser>
          <c:idx val="1"/>
          <c:order val="1"/>
          <c:tx>
            <c:strRef>
              <c:f>'Pivot Tables'!$C$85</c:f>
              <c:strCache>
                <c:ptCount val="1"/>
                <c:pt idx="0">
                  <c:v>Avg nitraten_mgl</c:v>
                </c:pt>
              </c:strCache>
            </c:strRef>
          </c:tx>
          <c:spPr>
            <a:solidFill>
              <a:schemeClr val="accent2"/>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Tables'!$C$86:$C$98</c:f>
              <c:numCache>
                <c:formatCode>General</c:formatCode>
                <c:ptCount val="12"/>
                <c:pt idx="0">
                  <c:v>0.87684210526315753</c:v>
                </c:pt>
                <c:pt idx="1">
                  <c:v>1.4260869565217378</c:v>
                </c:pt>
                <c:pt idx="2">
                  <c:v>2.0499999999999998</c:v>
                </c:pt>
                <c:pt idx="3">
                  <c:v>2.7599999999999989</c:v>
                </c:pt>
                <c:pt idx="4">
                  <c:v>1.3499999999999994</c:v>
                </c:pt>
                <c:pt idx="5">
                  <c:v>1.0674999999999988</c:v>
                </c:pt>
                <c:pt idx="6">
                  <c:v>1.1250000000000002</c:v>
                </c:pt>
                <c:pt idx="7">
                  <c:v>1.8159999999999987</c:v>
                </c:pt>
                <c:pt idx="8">
                  <c:v>2.1387499999999999</c:v>
                </c:pt>
                <c:pt idx="9">
                  <c:v>3.375</c:v>
                </c:pt>
                <c:pt idx="10">
                  <c:v>0.3</c:v>
                </c:pt>
              </c:numCache>
            </c:numRef>
          </c:val>
          <c:extLst>
            <c:ext xmlns:c16="http://schemas.microsoft.com/office/drawing/2014/chart" uri="{C3380CC4-5D6E-409C-BE32-E72D297353CC}">
              <c16:uniqueId val="{00000001-C275-40D1-8F78-465970BDC758}"/>
            </c:ext>
          </c:extLst>
        </c:ser>
        <c:ser>
          <c:idx val="2"/>
          <c:order val="2"/>
          <c:tx>
            <c:strRef>
              <c:f>'Pivot Tables'!$D$85</c:f>
              <c:strCache>
                <c:ptCount val="1"/>
                <c:pt idx="0">
                  <c:v>Avg dissolved</c:v>
                </c:pt>
              </c:strCache>
            </c:strRef>
          </c:tx>
          <c:spPr>
            <a:solidFill>
              <a:schemeClr val="accent3"/>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Tables'!$D$86:$D$98</c:f>
              <c:numCache>
                <c:formatCode>General</c:formatCode>
                <c:ptCount val="12"/>
                <c:pt idx="0">
                  <c:v>6.0868421052631563</c:v>
                </c:pt>
                <c:pt idx="1">
                  <c:v>5.3565217391304341</c:v>
                </c:pt>
                <c:pt idx="2">
                  <c:v>6.1</c:v>
                </c:pt>
                <c:pt idx="3">
                  <c:v>7.1828571428571424</c:v>
                </c:pt>
                <c:pt idx="4">
                  <c:v>5.5704545454545435</c:v>
                </c:pt>
                <c:pt idx="5">
                  <c:v>5.91</c:v>
                </c:pt>
                <c:pt idx="6">
                  <c:v>6.5083333333333337</c:v>
                </c:pt>
                <c:pt idx="7">
                  <c:v>7.6950000000000003</c:v>
                </c:pt>
                <c:pt idx="8">
                  <c:v>5.7625000000000002</c:v>
                </c:pt>
                <c:pt idx="9">
                  <c:v>2.95</c:v>
                </c:pt>
                <c:pt idx="10">
                  <c:v>6.7166666666666659</c:v>
                </c:pt>
              </c:numCache>
            </c:numRef>
          </c:val>
          <c:extLst>
            <c:ext xmlns:c16="http://schemas.microsoft.com/office/drawing/2014/chart" uri="{C3380CC4-5D6E-409C-BE32-E72D297353CC}">
              <c16:uniqueId val="{00000002-C275-40D1-8F78-465970BDC758}"/>
            </c:ext>
          </c:extLst>
        </c:ser>
        <c:ser>
          <c:idx val="3"/>
          <c:order val="3"/>
          <c:tx>
            <c:strRef>
              <c:f>'Pivot Tables'!$E$85</c:f>
              <c:strCache>
                <c:ptCount val="1"/>
                <c:pt idx="0">
                  <c:v>Average of avg_ph</c:v>
                </c:pt>
              </c:strCache>
            </c:strRef>
          </c:tx>
          <c:spPr>
            <a:solidFill>
              <a:schemeClr val="accent4"/>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Tables'!$E$86:$E$98</c:f>
              <c:numCache>
                <c:formatCode>General</c:formatCode>
                <c:ptCount val="12"/>
                <c:pt idx="0">
                  <c:v>7.7342105263157892</c:v>
                </c:pt>
                <c:pt idx="1">
                  <c:v>7.4166666666666643</c:v>
                </c:pt>
                <c:pt idx="2">
                  <c:v>7.15</c:v>
                </c:pt>
                <c:pt idx="3">
                  <c:v>7.7399999999999993</c:v>
                </c:pt>
                <c:pt idx="4">
                  <c:v>7.2113636363636378</c:v>
                </c:pt>
                <c:pt idx="5">
                  <c:v>7.7450000000000001</c:v>
                </c:pt>
                <c:pt idx="6">
                  <c:v>7.2249999999999988</c:v>
                </c:pt>
                <c:pt idx="7">
                  <c:v>7.745899999999998</c:v>
                </c:pt>
                <c:pt idx="8">
                  <c:v>7.6374999999999975</c:v>
                </c:pt>
                <c:pt idx="9">
                  <c:v>7.4249999999999998</c:v>
                </c:pt>
                <c:pt idx="10">
                  <c:v>7.4333333333333336</c:v>
                </c:pt>
              </c:numCache>
            </c:numRef>
          </c:val>
          <c:extLst>
            <c:ext xmlns:c16="http://schemas.microsoft.com/office/drawing/2014/chart" uri="{C3380CC4-5D6E-409C-BE32-E72D297353CC}">
              <c16:uniqueId val="{00000003-C275-40D1-8F78-465970BDC758}"/>
            </c:ext>
          </c:extLst>
        </c:ser>
        <c:ser>
          <c:idx val="4"/>
          <c:order val="4"/>
          <c:tx>
            <c:strRef>
              <c:f>'Pivot Tables'!$F$85</c:f>
              <c:strCache>
                <c:ptCount val="1"/>
                <c:pt idx="0">
                  <c:v>Avg conductivity_mhocm</c:v>
                </c:pt>
              </c:strCache>
            </c:strRef>
          </c:tx>
          <c:spPr>
            <a:solidFill>
              <a:schemeClr val="accent5"/>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Tables'!$F$86:$F$98</c:f>
              <c:numCache>
                <c:formatCode>General</c:formatCode>
                <c:ptCount val="12"/>
                <c:pt idx="0">
                  <c:v>42094.894736842107</c:v>
                </c:pt>
                <c:pt idx="1">
                  <c:v>2094.681818181818</c:v>
                </c:pt>
                <c:pt idx="2">
                  <c:v>25920.5</c:v>
                </c:pt>
                <c:pt idx="3">
                  <c:v>1084.9142857142858</c:v>
                </c:pt>
                <c:pt idx="4">
                  <c:v>211.68181818181819</c:v>
                </c:pt>
                <c:pt idx="5">
                  <c:v>39406.5</c:v>
                </c:pt>
                <c:pt idx="6">
                  <c:v>142.75</c:v>
                </c:pt>
                <c:pt idx="7">
                  <c:v>759.63</c:v>
                </c:pt>
                <c:pt idx="8">
                  <c:v>24810.25</c:v>
                </c:pt>
                <c:pt idx="9">
                  <c:v>1475.25</c:v>
                </c:pt>
                <c:pt idx="10">
                  <c:v>890.16666666666663</c:v>
                </c:pt>
              </c:numCache>
            </c:numRef>
          </c:val>
          <c:extLst>
            <c:ext xmlns:c16="http://schemas.microsoft.com/office/drawing/2014/chart" uri="{C3380CC4-5D6E-409C-BE32-E72D297353CC}">
              <c16:uniqueId val="{00000004-C275-40D1-8F78-465970BDC758}"/>
            </c:ext>
          </c:extLst>
        </c:ser>
        <c:ser>
          <c:idx val="5"/>
          <c:order val="5"/>
          <c:tx>
            <c:strRef>
              <c:f>'Pivot Tables'!$G$85</c:f>
              <c:strCache>
                <c:ptCount val="1"/>
                <c:pt idx="0">
                  <c:v>Avg bod_mgl</c:v>
                </c:pt>
              </c:strCache>
            </c:strRef>
          </c:tx>
          <c:spPr>
            <a:solidFill>
              <a:schemeClr val="accent6"/>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Tables'!$G$86:$G$98</c:f>
              <c:numCache>
                <c:formatCode>General</c:formatCode>
                <c:ptCount val="12"/>
                <c:pt idx="0">
                  <c:v>2.1026315789473675</c:v>
                </c:pt>
                <c:pt idx="1">
                  <c:v>7.1190476190476186</c:v>
                </c:pt>
                <c:pt idx="2">
                  <c:v>2.4</c:v>
                </c:pt>
                <c:pt idx="3">
                  <c:v>4.8642857142857148</c:v>
                </c:pt>
                <c:pt idx="4">
                  <c:v>4.9795454545454509</c:v>
                </c:pt>
                <c:pt idx="5">
                  <c:v>2.2399999999999971</c:v>
                </c:pt>
                <c:pt idx="6">
                  <c:v>2.3458333333333323</c:v>
                </c:pt>
                <c:pt idx="7">
                  <c:v>3.6475999999999971</c:v>
                </c:pt>
                <c:pt idx="8">
                  <c:v>3</c:v>
                </c:pt>
                <c:pt idx="9">
                  <c:v>14.1</c:v>
                </c:pt>
                <c:pt idx="10">
                  <c:v>1</c:v>
                </c:pt>
              </c:numCache>
            </c:numRef>
          </c:val>
          <c:extLst>
            <c:ext xmlns:c16="http://schemas.microsoft.com/office/drawing/2014/chart" uri="{C3380CC4-5D6E-409C-BE32-E72D297353CC}">
              <c16:uniqueId val="{00000005-C275-40D1-8F78-465970BDC758}"/>
            </c:ext>
          </c:extLst>
        </c:ser>
        <c:dLbls>
          <c:showLegendKey val="0"/>
          <c:showVal val="0"/>
          <c:showCatName val="0"/>
          <c:showSerName val="0"/>
          <c:showPercent val="0"/>
          <c:showBubbleSize val="0"/>
        </c:dLbls>
        <c:gapWidth val="150"/>
        <c:overlap val="100"/>
        <c:axId val="1093473327"/>
        <c:axId val="1093477167"/>
      </c:barChart>
      <c:catAx>
        <c:axId val="109347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477167"/>
        <c:crosses val="autoZero"/>
        <c:auto val="1"/>
        <c:lblAlgn val="ctr"/>
        <c:lblOffset val="100"/>
        <c:noMultiLvlLbl val="0"/>
      </c:catAx>
      <c:valAx>
        <c:axId val="1093477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47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a:t>
            </a:r>
            <a:r>
              <a:rPr lang="en-IN" sz="1400" b="1" i="0" u="none" strike="noStrike" baseline="0"/>
              <a:t>Top 10 Source by WQI (Worst to Best)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Tables'!$C$104</c:f>
              <c:strCache>
                <c:ptCount val="1"/>
                <c:pt idx="0">
                  <c:v>WQI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Tables'!$B$105:$B$114</c:f>
              <c:strCache>
                <c:ptCount val="10"/>
                <c:pt idx="0">
                  <c:v>KAMALPUR BEEL</c:v>
                </c:pt>
                <c:pt idx="1">
                  <c:v> NEAR NEWTA DAM</c:v>
                </c:pt>
                <c:pt idx="2">
                  <c:v>SILSAKO BEEL</c:v>
                </c:pt>
                <c:pt idx="3">
                  <c:v>MADURAI</c:v>
                </c:pt>
                <c:pt idx="4">
                  <c:v>BUDAMERU CANAL</c:v>
                </c:pt>
                <c:pt idx="5">
                  <c:v>AMBERPET STP (339 MLD) - OUTLET</c:v>
                </c:pt>
                <c:pt idx="6">
                  <c:v>BHATIAN NALLAH U/S BHATIAN VILLAGE</c:v>
                </c:pt>
                <c:pt idx="7">
                  <c:v>SORU SOLA BEEL</c:v>
                </c:pt>
                <c:pt idx="8">
                  <c:v>AGRA CANAL</c:v>
                </c:pt>
                <c:pt idx="9">
                  <c:v>GUNTATHIPPA WITH RIVES CANAL </c:v>
                </c:pt>
              </c:strCache>
            </c:strRef>
          </c:cat>
          <c:val>
            <c:numRef>
              <c:f>'Pivot Tables'!$C$105:$C$114</c:f>
              <c:numCache>
                <c:formatCode>0.0</c:formatCode>
                <c:ptCount val="10"/>
                <c:pt idx="0">
                  <c:v>52.570370370370298</c:v>
                </c:pt>
                <c:pt idx="1">
                  <c:v>52.685185185185098</c:v>
                </c:pt>
                <c:pt idx="2">
                  <c:v>53.0555555555555</c:v>
                </c:pt>
                <c:pt idx="3">
                  <c:v>56.2777777777777</c:v>
                </c:pt>
                <c:pt idx="4">
                  <c:v>56.981481481481403</c:v>
                </c:pt>
                <c:pt idx="5">
                  <c:v>58.7259259259259</c:v>
                </c:pt>
                <c:pt idx="6">
                  <c:v>59.7222222222222</c:v>
                </c:pt>
                <c:pt idx="7">
                  <c:v>62.7777777777777</c:v>
                </c:pt>
                <c:pt idx="8">
                  <c:v>65.355555555555497</c:v>
                </c:pt>
                <c:pt idx="9">
                  <c:v>71.307407407407396</c:v>
                </c:pt>
              </c:numCache>
            </c:numRef>
          </c:val>
          <c:extLst>
            <c:ext xmlns:c16="http://schemas.microsoft.com/office/drawing/2014/chart" uri="{C3380CC4-5D6E-409C-BE32-E72D297353CC}">
              <c16:uniqueId val="{00000000-A628-4C06-9274-61069DFF4BBF}"/>
            </c:ext>
          </c:extLst>
        </c:ser>
        <c:dLbls>
          <c:dLblPos val="outEnd"/>
          <c:showLegendKey val="0"/>
          <c:showVal val="1"/>
          <c:showCatName val="0"/>
          <c:showSerName val="0"/>
          <c:showPercent val="0"/>
          <c:showBubbleSize val="0"/>
        </c:dLbls>
        <c:gapWidth val="182"/>
        <c:axId val="1231283807"/>
        <c:axId val="1231280927"/>
      </c:barChart>
      <c:catAx>
        <c:axId val="123128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80927"/>
        <c:crosses val="autoZero"/>
        <c:auto val="1"/>
        <c:lblAlgn val="ctr"/>
        <c:lblOffset val="100"/>
        <c:noMultiLvlLbl val="0"/>
      </c:catAx>
      <c:valAx>
        <c:axId val="123128092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83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 of Water Bodies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Tables'!$E$3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33-46B6-AABD-2B710AA0D8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33-46B6-AABD-2B710AA0D8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33-46B6-AABD-2B710AA0D8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33-46B6-AABD-2B710AA0D8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33-46B6-AABD-2B710AA0D8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933-46B6-AABD-2B710AA0D8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933-46B6-AABD-2B710AA0D88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933-46B6-AABD-2B710AA0D88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933-46B6-AABD-2B710AA0D88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933-46B6-AABD-2B710AA0D88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933-46B6-AABD-2B710AA0D8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Tables'!$D$4:$D$14</c:f>
              <c:strCache>
                <c:ptCount val="11"/>
                <c:pt idx="0">
                  <c:v>BEACH</c:v>
                </c:pt>
                <c:pt idx="1">
                  <c:v>CANAL</c:v>
                </c:pt>
                <c:pt idx="2">
                  <c:v>CREEK</c:v>
                </c:pt>
                <c:pt idx="3">
                  <c:v>DRAIN</c:v>
                </c:pt>
                <c:pt idx="4">
                  <c:v>LAKE</c:v>
                </c:pt>
                <c:pt idx="5">
                  <c:v>MARINE</c:v>
                </c:pt>
                <c:pt idx="6">
                  <c:v>POND</c:v>
                </c:pt>
                <c:pt idx="7">
                  <c:v>RIVER</c:v>
                </c:pt>
                <c:pt idx="8">
                  <c:v>SEA</c:v>
                </c:pt>
                <c:pt idx="9">
                  <c:v>STP</c:v>
                </c:pt>
                <c:pt idx="10">
                  <c:v>WATER TREATMENT PLANT (RAW WATER)</c:v>
                </c:pt>
              </c:strCache>
            </c:strRef>
          </c:cat>
          <c:val>
            <c:numRef>
              <c:f>'Pivot Tables'!$E$4:$E$14</c:f>
              <c:numCache>
                <c:formatCode>0.00%</c:formatCode>
                <c:ptCount val="11"/>
                <c:pt idx="0">
                  <c:v>9.7938144329896906E-2</c:v>
                </c:pt>
                <c:pt idx="1">
                  <c:v>0.12371134020618557</c:v>
                </c:pt>
                <c:pt idx="2">
                  <c:v>5.1546391752577319E-3</c:v>
                </c:pt>
                <c:pt idx="3">
                  <c:v>0.18041237113402062</c:v>
                </c:pt>
                <c:pt idx="4">
                  <c:v>0.1134020618556701</c:v>
                </c:pt>
                <c:pt idx="5">
                  <c:v>5.1546391752577317E-2</c:v>
                </c:pt>
                <c:pt idx="6">
                  <c:v>0.12371134020618557</c:v>
                </c:pt>
                <c:pt idx="7">
                  <c:v>0.25773195876288657</c:v>
                </c:pt>
                <c:pt idx="8">
                  <c:v>2.0618556701030927E-2</c:v>
                </c:pt>
                <c:pt idx="9">
                  <c:v>1.0309278350515464E-2</c:v>
                </c:pt>
                <c:pt idx="10">
                  <c:v>1.5463917525773196E-2</c:v>
                </c:pt>
              </c:numCache>
            </c:numRef>
          </c:val>
          <c:extLst>
            <c:ext xmlns:c16="http://schemas.microsoft.com/office/drawing/2014/chart" uri="{C3380CC4-5D6E-409C-BE32-E72D297353CC}">
              <c16:uniqueId val="{00000016-8933-46B6-AABD-2B710AA0D8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660455062816195"/>
          <c:y val="0.1900775283799965"/>
          <c:w val="0.24643694503987279"/>
          <c:h val="0.763387681755877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[Indian_water_data.xlsx]Pivot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WQI by Type of Water Body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45218662735653E-2"/>
          <c:y val="0.18406601717158233"/>
          <c:w val="0.96673408118505733"/>
          <c:h val="0.58255230808013403"/>
        </c:manualLayout>
      </c:layout>
      <c:barChart>
        <c:barDir val="col"/>
        <c:grouping val="clustered"/>
        <c:varyColors val="0"/>
        <c:ser>
          <c:idx val="0"/>
          <c:order val="0"/>
          <c:tx>
            <c:strRef>
              <c:f>'Pivot Tables'!$B$20</c:f>
              <c:strCache>
                <c:ptCount val="1"/>
                <c:pt idx="0">
                  <c:v>Average dissolved</c:v>
                </c:pt>
              </c:strCache>
            </c:strRef>
          </c:tx>
          <c:spPr>
            <a:solidFill>
              <a:schemeClr val="accent1"/>
            </a:solidFill>
            <a:ln>
              <a:noFill/>
            </a:ln>
            <a:effectLst/>
          </c:spPr>
          <c:invertIfNegative val="0"/>
          <c:cat>
            <c:strRef>
              <c:f>'Pivot Tables'!$A$21:$A$33</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Tables'!$B$21:$B$33</c:f>
              <c:numCache>
                <c:formatCode>General</c:formatCode>
                <c:ptCount val="12"/>
                <c:pt idx="0">
                  <c:v>6.0868421052631563</c:v>
                </c:pt>
                <c:pt idx="1">
                  <c:v>5.3565217391304341</c:v>
                </c:pt>
                <c:pt idx="2">
                  <c:v>6.1</c:v>
                </c:pt>
                <c:pt idx="3">
                  <c:v>7.1828571428571424</c:v>
                </c:pt>
                <c:pt idx="4">
                  <c:v>5.5704545454545435</c:v>
                </c:pt>
                <c:pt idx="5">
                  <c:v>5.91</c:v>
                </c:pt>
                <c:pt idx="6">
                  <c:v>6.5083333333333337</c:v>
                </c:pt>
                <c:pt idx="7">
                  <c:v>7.6950000000000003</c:v>
                </c:pt>
                <c:pt idx="8">
                  <c:v>5.7625000000000002</c:v>
                </c:pt>
                <c:pt idx="9">
                  <c:v>2.95</c:v>
                </c:pt>
                <c:pt idx="10">
                  <c:v>6.7166666666666659</c:v>
                </c:pt>
              </c:numCache>
            </c:numRef>
          </c:val>
          <c:extLst>
            <c:ext xmlns:c16="http://schemas.microsoft.com/office/drawing/2014/chart" uri="{C3380CC4-5D6E-409C-BE32-E72D297353CC}">
              <c16:uniqueId val="{00000000-939D-4684-97B0-2F33DD106C97}"/>
            </c:ext>
          </c:extLst>
        </c:ser>
        <c:ser>
          <c:idx val="1"/>
          <c:order val="1"/>
          <c:tx>
            <c:strRef>
              <c:f>'Pivot Tables'!$C$20</c:f>
              <c:strCache>
                <c:ptCount val="1"/>
                <c:pt idx="0">
                  <c:v>Average temperature </c:v>
                </c:pt>
              </c:strCache>
            </c:strRef>
          </c:tx>
          <c:spPr>
            <a:solidFill>
              <a:schemeClr val="accent2"/>
            </a:solidFill>
            <a:ln>
              <a:noFill/>
            </a:ln>
            <a:effectLst/>
          </c:spPr>
          <c:invertIfNegative val="0"/>
          <c:cat>
            <c:strRef>
              <c:f>'Pivot Tables'!$A$21:$A$33</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Tables'!$C$21:$C$33</c:f>
              <c:numCache>
                <c:formatCode>General</c:formatCode>
                <c:ptCount val="12"/>
                <c:pt idx="0">
                  <c:v>27.184210526315791</c:v>
                </c:pt>
                <c:pt idx="1">
                  <c:v>57.625</c:v>
                </c:pt>
                <c:pt idx="2">
                  <c:v>28.5</c:v>
                </c:pt>
                <c:pt idx="3">
                  <c:v>15.971428571428572</c:v>
                </c:pt>
                <c:pt idx="4">
                  <c:v>25.522727272727273</c:v>
                </c:pt>
                <c:pt idx="5">
                  <c:v>24.75</c:v>
                </c:pt>
                <c:pt idx="6">
                  <c:v>27.1875</c:v>
                </c:pt>
                <c:pt idx="7">
                  <c:v>20.119000000000003</c:v>
                </c:pt>
                <c:pt idx="8">
                  <c:v>25.875</c:v>
                </c:pt>
                <c:pt idx="9">
                  <c:v>30</c:v>
                </c:pt>
                <c:pt idx="10">
                  <c:v>25.666666666666668</c:v>
                </c:pt>
              </c:numCache>
            </c:numRef>
          </c:val>
          <c:extLst>
            <c:ext xmlns:c16="http://schemas.microsoft.com/office/drawing/2014/chart" uri="{C3380CC4-5D6E-409C-BE32-E72D297353CC}">
              <c16:uniqueId val="{00000001-939D-4684-97B0-2F33DD106C97}"/>
            </c:ext>
          </c:extLst>
        </c:ser>
        <c:ser>
          <c:idx val="2"/>
          <c:order val="2"/>
          <c:tx>
            <c:strRef>
              <c:f>'Pivot Tables'!$D$20</c:f>
              <c:strCache>
                <c:ptCount val="1"/>
                <c:pt idx="0">
                  <c:v>Average nitraten_mgl</c:v>
                </c:pt>
              </c:strCache>
            </c:strRef>
          </c:tx>
          <c:spPr>
            <a:solidFill>
              <a:schemeClr val="accent3"/>
            </a:solidFill>
            <a:ln>
              <a:noFill/>
            </a:ln>
            <a:effectLst/>
          </c:spPr>
          <c:invertIfNegative val="0"/>
          <c:cat>
            <c:strRef>
              <c:f>'Pivot Tables'!$A$21:$A$33</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Tables'!$D$21:$D$33</c:f>
              <c:numCache>
                <c:formatCode>General</c:formatCode>
                <c:ptCount val="12"/>
                <c:pt idx="0">
                  <c:v>0.87684210526315753</c:v>
                </c:pt>
                <c:pt idx="1">
                  <c:v>1.4260869565217378</c:v>
                </c:pt>
                <c:pt idx="2">
                  <c:v>2.0499999999999998</c:v>
                </c:pt>
                <c:pt idx="3">
                  <c:v>2.7599999999999989</c:v>
                </c:pt>
                <c:pt idx="4">
                  <c:v>1.3499999999999994</c:v>
                </c:pt>
                <c:pt idx="5">
                  <c:v>1.0674999999999988</c:v>
                </c:pt>
                <c:pt idx="6">
                  <c:v>1.1250000000000002</c:v>
                </c:pt>
                <c:pt idx="7">
                  <c:v>1.8159999999999987</c:v>
                </c:pt>
                <c:pt idx="8">
                  <c:v>2.1387499999999999</c:v>
                </c:pt>
                <c:pt idx="9">
                  <c:v>3.375</c:v>
                </c:pt>
                <c:pt idx="10">
                  <c:v>0.3</c:v>
                </c:pt>
              </c:numCache>
            </c:numRef>
          </c:val>
          <c:extLst>
            <c:ext xmlns:c16="http://schemas.microsoft.com/office/drawing/2014/chart" uri="{C3380CC4-5D6E-409C-BE32-E72D297353CC}">
              <c16:uniqueId val="{00000002-939D-4684-97B0-2F33DD106C97}"/>
            </c:ext>
          </c:extLst>
        </c:ser>
        <c:ser>
          <c:idx val="3"/>
          <c:order val="3"/>
          <c:tx>
            <c:strRef>
              <c:f>'Pivot Tables'!$E$20</c:f>
              <c:strCache>
                <c:ptCount val="1"/>
                <c:pt idx="0">
                  <c:v>Average ph</c:v>
                </c:pt>
              </c:strCache>
            </c:strRef>
          </c:tx>
          <c:spPr>
            <a:solidFill>
              <a:schemeClr val="accent4"/>
            </a:solidFill>
            <a:ln>
              <a:noFill/>
            </a:ln>
            <a:effectLst/>
          </c:spPr>
          <c:invertIfNegative val="0"/>
          <c:cat>
            <c:strRef>
              <c:f>'Pivot Tables'!$A$21:$A$33</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Tables'!$E$21:$E$33</c:f>
              <c:numCache>
                <c:formatCode>General</c:formatCode>
                <c:ptCount val="12"/>
                <c:pt idx="0">
                  <c:v>7.7342105263157892</c:v>
                </c:pt>
                <c:pt idx="1">
                  <c:v>7.4166666666666643</c:v>
                </c:pt>
                <c:pt idx="2">
                  <c:v>7.15</c:v>
                </c:pt>
                <c:pt idx="3">
                  <c:v>7.7399999999999993</c:v>
                </c:pt>
                <c:pt idx="4">
                  <c:v>7.2113636363636378</c:v>
                </c:pt>
                <c:pt idx="5">
                  <c:v>7.7450000000000001</c:v>
                </c:pt>
                <c:pt idx="6">
                  <c:v>7.2249999999999988</c:v>
                </c:pt>
                <c:pt idx="7">
                  <c:v>7.745899999999998</c:v>
                </c:pt>
                <c:pt idx="8">
                  <c:v>7.6374999999999975</c:v>
                </c:pt>
                <c:pt idx="9">
                  <c:v>7.4249999999999998</c:v>
                </c:pt>
                <c:pt idx="10">
                  <c:v>7.4333333333333336</c:v>
                </c:pt>
              </c:numCache>
            </c:numRef>
          </c:val>
          <c:extLst>
            <c:ext xmlns:c16="http://schemas.microsoft.com/office/drawing/2014/chart" uri="{C3380CC4-5D6E-409C-BE32-E72D297353CC}">
              <c16:uniqueId val="{00000003-939D-4684-97B0-2F33DD106C97}"/>
            </c:ext>
          </c:extLst>
        </c:ser>
        <c:dLbls>
          <c:showLegendKey val="0"/>
          <c:showVal val="0"/>
          <c:showCatName val="0"/>
          <c:showSerName val="0"/>
          <c:showPercent val="0"/>
          <c:showBubbleSize val="0"/>
        </c:dLbls>
        <c:gapWidth val="219"/>
        <c:overlap val="-27"/>
        <c:axId val="733532399"/>
        <c:axId val="733531439"/>
      </c:barChart>
      <c:catAx>
        <c:axId val="73353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31439"/>
        <c:crosses val="autoZero"/>
        <c:auto val="1"/>
        <c:lblAlgn val="ctr"/>
        <c:lblOffset val="100"/>
        <c:noMultiLvlLbl val="0"/>
      </c:catAx>
      <c:valAx>
        <c:axId val="73353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3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[Indian_water_data.xlsx]Pivot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WQI</a:t>
            </a:r>
            <a:r>
              <a:rPr lang="en-US" b="1" baseline="0"/>
              <a:t> By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Tables'!$B$39</c:f>
              <c:strCache>
                <c:ptCount val="1"/>
                <c:pt idx="0">
                  <c:v>Total</c:v>
                </c:pt>
              </c:strCache>
            </c:strRef>
          </c:tx>
          <c:spPr>
            <a:solidFill>
              <a:schemeClr val="accent1"/>
            </a:solidFill>
            <a:ln>
              <a:noFill/>
            </a:ln>
            <a:effectLst/>
          </c:spPr>
          <c:invertIfNegative val="0"/>
          <c:cat>
            <c:strRef>
              <c:f>'Pivot Tables'!$A$40:$A$58</c:f>
              <c:strCache>
                <c:ptCount val="18"/>
                <c:pt idx="0">
                  <c:v>ANDHRA PRADESH</c:v>
                </c:pt>
                <c:pt idx="1">
                  <c:v>ASSAM</c:v>
                </c:pt>
                <c:pt idx="2">
                  <c:v>DELHI</c:v>
                </c:pt>
                <c:pt idx="3">
                  <c:v>GOA</c:v>
                </c:pt>
                <c:pt idx="4">
                  <c:v>GUJARAT</c:v>
                </c:pt>
                <c:pt idx="5">
                  <c:v>HARYANA</c:v>
                </c:pt>
                <c:pt idx="6">
                  <c:v>HIMACHAL PRADESH</c:v>
                </c:pt>
                <c:pt idx="7">
                  <c:v>JHARKHAND</c:v>
                </c:pt>
                <c:pt idx="8">
                  <c:v>MADHYA PRADESH</c:v>
                </c:pt>
                <c:pt idx="9">
                  <c:v>MAHARASHTRA</c:v>
                </c:pt>
                <c:pt idx="10">
                  <c:v>ODISHA</c:v>
                </c:pt>
                <c:pt idx="11">
                  <c:v>PUNJAB</c:v>
                </c:pt>
                <c:pt idx="12">
                  <c:v>RAJASTHAN</c:v>
                </c:pt>
                <c:pt idx="13">
                  <c:v>TAMIL NADU</c:v>
                </c:pt>
                <c:pt idx="14">
                  <c:v>TELANGANA</c:v>
                </c:pt>
                <c:pt idx="15">
                  <c:v>UTTAR PRADESH</c:v>
                </c:pt>
                <c:pt idx="16">
                  <c:v>UTTARAKHAND</c:v>
                </c:pt>
                <c:pt idx="17">
                  <c:v>(blank)</c:v>
                </c:pt>
              </c:strCache>
            </c:strRef>
          </c:cat>
          <c:val>
            <c:numRef>
              <c:f>'Pivot Tables'!$B$40:$B$58</c:f>
              <c:numCache>
                <c:formatCode>General</c:formatCode>
                <c:ptCount val="18"/>
                <c:pt idx="0">
                  <c:v>17.957957957957909</c:v>
                </c:pt>
                <c:pt idx="1">
                  <c:v>16.068357487922675</c:v>
                </c:pt>
                <c:pt idx="2">
                  <c:v>38.637037037036997</c:v>
                </c:pt>
                <c:pt idx="3">
                  <c:v>16.193595679012311</c:v>
                </c:pt>
                <c:pt idx="4">
                  <c:v>0.46296296296296274</c:v>
                </c:pt>
                <c:pt idx="5">
                  <c:v>16.629629629629601</c:v>
                </c:pt>
                <c:pt idx="6">
                  <c:v>10.793650793650775</c:v>
                </c:pt>
                <c:pt idx="7">
                  <c:v>0.81018518518518501</c:v>
                </c:pt>
                <c:pt idx="8">
                  <c:v>13.606635802469118</c:v>
                </c:pt>
                <c:pt idx="9">
                  <c:v>33.721810699588431</c:v>
                </c:pt>
                <c:pt idx="10">
                  <c:v>44.6111111111111</c:v>
                </c:pt>
                <c:pt idx="11">
                  <c:v>2.7839506172839501</c:v>
                </c:pt>
                <c:pt idx="12">
                  <c:v>18.893086419753036</c:v>
                </c:pt>
                <c:pt idx="13">
                  <c:v>56.2777777777777</c:v>
                </c:pt>
                <c:pt idx="14">
                  <c:v>36.120576131687237</c:v>
                </c:pt>
                <c:pt idx="15">
                  <c:v>1.94444444444444</c:v>
                </c:pt>
                <c:pt idx="16">
                  <c:v>11.1111111111111</c:v>
                </c:pt>
              </c:numCache>
            </c:numRef>
          </c:val>
          <c:extLst>
            <c:ext xmlns:c16="http://schemas.microsoft.com/office/drawing/2014/chart" uri="{C3380CC4-5D6E-409C-BE32-E72D297353CC}">
              <c16:uniqueId val="{00000000-9042-4DB7-974C-E0F8EDDC153E}"/>
            </c:ext>
          </c:extLst>
        </c:ser>
        <c:dLbls>
          <c:showLegendKey val="0"/>
          <c:showVal val="0"/>
          <c:showCatName val="0"/>
          <c:showSerName val="0"/>
          <c:showPercent val="0"/>
          <c:showBubbleSize val="0"/>
        </c:dLbls>
        <c:gapWidth val="150"/>
        <c:overlap val="100"/>
        <c:axId val="1093514607"/>
        <c:axId val="1093515087"/>
      </c:barChart>
      <c:catAx>
        <c:axId val="10935146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515087"/>
        <c:crosses val="autoZero"/>
        <c:auto val="1"/>
        <c:lblAlgn val="ctr"/>
        <c:lblOffset val="100"/>
        <c:noMultiLvlLbl val="0"/>
      </c:catAx>
      <c:valAx>
        <c:axId val="10935150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51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a:t>
            </a:r>
            <a:r>
              <a:rPr lang="en-US" b="1" baseline="0"/>
              <a:t> of WQI Categories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Tables'!$D$61</c:f>
              <c:strCache>
                <c:ptCount val="1"/>
                <c:pt idx="0">
                  <c:v>Values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FB-4809-950C-F31DF12730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FB-4809-950C-F31DF12730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FB-4809-950C-F31DF12730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Tables'!$C$62:$C$64</c:f>
              <c:strCache>
                <c:ptCount val="3"/>
                <c:pt idx="0">
                  <c:v>Excellent</c:v>
                </c:pt>
                <c:pt idx="1">
                  <c:v>Good</c:v>
                </c:pt>
                <c:pt idx="2">
                  <c:v>Moderate</c:v>
                </c:pt>
              </c:strCache>
            </c:strRef>
          </c:cat>
          <c:val>
            <c:numRef>
              <c:f>'Pivot Tables'!$D$62:$D$64</c:f>
              <c:numCache>
                <c:formatCode>0.00%</c:formatCode>
                <c:ptCount val="3"/>
                <c:pt idx="0">
                  <c:v>0.74742268041237114</c:v>
                </c:pt>
                <c:pt idx="1">
                  <c:v>6.1855670103092786E-2</c:v>
                </c:pt>
                <c:pt idx="2">
                  <c:v>0.19072164948453607</c:v>
                </c:pt>
              </c:numCache>
            </c:numRef>
          </c:val>
          <c:extLst>
            <c:ext xmlns:c16="http://schemas.microsoft.com/office/drawing/2014/chart" uri="{C3380CC4-5D6E-409C-BE32-E72D297353CC}">
              <c16:uniqueId val="{00000006-32FB-4809-950C-F31DF12730F8}"/>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[Indian_water_data.xlsx]Pivot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a:t>
            </a:r>
            <a:r>
              <a:rPr lang="en-US" b="1" baseline="0"/>
              <a:t> Trend of WQI</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Tables'!$B$71</c:f>
              <c:strCache>
                <c:ptCount val="1"/>
                <c:pt idx="0">
                  <c:v>Total</c:v>
                </c:pt>
              </c:strCache>
            </c:strRef>
          </c:tx>
          <c:spPr>
            <a:ln w="28575" cap="rnd">
              <a:solidFill>
                <a:schemeClr val="accent1"/>
              </a:solidFill>
              <a:round/>
            </a:ln>
            <a:effectLst/>
          </c:spPr>
          <c:marker>
            <c:symbol val="none"/>
          </c:marker>
          <c:dLbls>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Tables'!$A$72:$A$76</c:f>
              <c:strCache>
                <c:ptCount val="4"/>
                <c:pt idx="0">
                  <c:v>2021</c:v>
                </c:pt>
                <c:pt idx="1">
                  <c:v>2022</c:v>
                </c:pt>
                <c:pt idx="2">
                  <c:v>2023</c:v>
                </c:pt>
                <c:pt idx="3">
                  <c:v>(blank)</c:v>
                </c:pt>
              </c:strCache>
            </c:strRef>
          </c:cat>
          <c:val>
            <c:numRef>
              <c:f>'Pivot Tables'!$B$72:$B$76</c:f>
              <c:numCache>
                <c:formatCode>General</c:formatCode>
                <c:ptCount val="4"/>
                <c:pt idx="0">
                  <c:v>594.31851851851729</c:v>
                </c:pt>
                <c:pt idx="1">
                  <c:v>547.18395061728233</c:v>
                </c:pt>
                <c:pt idx="2">
                  <c:v>1743.1753086419724</c:v>
                </c:pt>
              </c:numCache>
            </c:numRef>
          </c:val>
          <c:smooth val="0"/>
          <c:extLst>
            <c:ext xmlns:c16="http://schemas.microsoft.com/office/drawing/2014/chart" uri="{C3380CC4-5D6E-409C-BE32-E72D297353CC}">
              <c16:uniqueId val="{00000000-8218-4688-ADE2-18A5380E6EA7}"/>
            </c:ext>
          </c:extLst>
        </c:ser>
        <c:dLbls>
          <c:showLegendKey val="0"/>
          <c:showVal val="0"/>
          <c:showCatName val="0"/>
          <c:showSerName val="0"/>
          <c:showPercent val="0"/>
          <c:showBubbleSize val="0"/>
        </c:dLbls>
        <c:smooth val="0"/>
        <c:axId val="1084408751"/>
        <c:axId val="1084409231"/>
      </c:lineChart>
      <c:catAx>
        <c:axId val="108440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09231"/>
        <c:crosses val="autoZero"/>
        <c:auto val="1"/>
        <c:lblAlgn val="ctr"/>
        <c:lblOffset val="100"/>
        <c:noMultiLvlLbl val="0"/>
      </c:catAx>
      <c:valAx>
        <c:axId val="1084409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0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[Indian_water_data.xlsx]Pivot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Comparison of Major Pollutants by Water Body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Tables'!$B$85</c:f>
              <c:strCache>
                <c:ptCount val="1"/>
                <c:pt idx="0">
                  <c:v>Avg temperature </c:v>
                </c:pt>
              </c:strCache>
            </c:strRef>
          </c:tx>
          <c:spPr>
            <a:solidFill>
              <a:schemeClr val="accent1"/>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Tables'!$B$86:$B$98</c:f>
              <c:numCache>
                <c:formatCode>General</c:formatCode>
                <c:ptCount val="12"/>
                <c:pt idx="0">
                  <c:v>27.184210526315791</c:v>
                </c:pt>
                <c:pt idx="1">
                  <c:v>57.625</c:v>
                </c:pt>
                <c:pt idx="2">
                  <c:v>28.5</c:v>
                </c:pt>
                <c:pt idx="3">
                  <c:v>15.971428571428572</c:v>
                </c:pt>
                <c:pt idx="4">
                  <c:v>25.522727272727273</c:v>
                </c:pt>
                <c:pt idx="5">
                  <c:v>24.75</c:v>
                </c:pt>
                <c:pt idx="6">
                  <c:v>27.1875</c:v>
                </c:pt>
                <c:pt idx="7">
                  <c:v>20.119000000000003</c:v>
                </c:pt>
                <c:pt idx="8">
                  <c:v>25.875</c:v>
                </c:pt>
                <c:pt idx="9">
                  <c:v>30</c:v>
                </c:pt>
                <c:pt idx="10">
                  <c:v>25.666666666666668</c:v>
                </c:pt>
              </c:numCache>
            </c:numRef>
          </c:val>
          <c:extLst>
            <c:ext xmlns:c16="http://schemas.microsoft.com/office/drawing/2014/chart" uri="{C3380CC4-5D6E-409C-BE32-E72D297353CC}">
              <c16:uniqueId val="{00000000-4630-4B3C-A5F6-9D73525AC4F5}"/>
            </c:ext>
          </c:extLst>
        </c:ser>
        <c:ser>
          <c:idx val="1"/>
          <c:order val="1"/>
          <c:tx>
            <c:strRef>
              <c:f>'Pivot Tables'!$C$85</c:f>
              <c:strCache>
                <c:ptCount val="1"/>
                <c:pt idx="0">
                  <c:v>Avg nitraten_mgl</c:v>
                </c:pt>
              </c:strCache>
            </c:strRef>
          </c:tx>
          <c:spPr>
            <a:solidFill>
              <a:schemeClr val="accent2"/>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Tables'!$C$86:$C$98</c:f>
              <c:numCache>
                <c:formatCode>General</c:formatCode>
                <c:ptCount val="12"/>
                <c:pt idx="0">
                  <c:v>0.87684210526315753</c:v>
                </c:pt>
                <c:pt idx="1">
                  <c:v>1.4260869565217378</c:v>
                </c:pt>
                <c:pt idx="2">
                  <c:v>2.0499999999999998</c:v>
                </c:pt>
                <c:pt idx="3">
                  <c:v>2.7599999999999989</c:v>
                </c:pt>
                <c:pt idx="4">
                  <c:v>1.3499999999999994</c:v>
                </c:pt>
                <c:pt idx="5">
                  <c:v>1.0674999999999988</c:v>
                </c:pt>
                <c:pt idx="6">
                  <c:v>1.1250000000000002</c:v>
                </c:pt>
                <c:pt idx="7">
                  <c:v>1.8159999999999987</c:v>
                </c:pt>
                <c:pt idx="8">
                  <c:v>2.1387499999999999</c:v>
                </c:pt>
                <c:pt idx="9">
                  <c:v>3.375</c:v>
                </c:pt>
                <c:pt idx="10">
                  <c:v>0.3</c:v>
                </c:pt>
              </c:numCache>
            </c:numRef>
          </c:val>
          <c:extLst>
            <c:ext xmlns:c16="http://schemas.microsoft.com/office/drawing/2014/chart" uri="{C3380CC4-5D6E-409C-BE32-E72D297353CC}">
              <c16:uniqueId val="{00000001-4630-4B3C-A5F6-9D73525AC4F5}"/>
            </c:ext>
          </c:extLst>
        </c:ser>
        <c:ser>
          <c:idx val="2"/>
          <c:order val="2"/>
          <c:tx>
            <c:strRef>
              <c:f>'Pivot Tables'!$D$85</c:f>
              <c:strCache>
                <c:ptCount val="1"/>
                <c:pt idx="0">
                  <c:v>Avg dissolved</c:v>
                </c:pt>
              </c:strCache>
            </c:strRef>
          </c:tx>
          <c:spPr>
            <a:solidFill>
              <a:schemeClr val="accent3"/>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Tables'!$D$86:$D$98</c:f>
              <c:numCache>
                <c:formatCode>General</c:formatCode>
                <c:ptCount val="12"/>
                <c:pt idx="0">
                  <c:v>6.0868421052631563</c:v>
                </c:pt>
                <c:pt idx="1">
                  <c:v>5.3565217391304341</c:v>
                </c:pt>
                <c:pt idx="2">
                  <c:v>6.1</c:v>
                </c:pt>
                <c:pt idx="3">
                  <c:v>7.1828571428571424</c:v>
                </c:pt>
                <c:pt idx="4">
                  <c:v>5.5704545454545435</c:v>
                </c:pt>
                <c:pt idx="5">
                  <c:v>5.91</c:v>
                </c:pt>
                <c:pt idx="6">
                  <c:v>6.5083333333333337</c:v>
                </c:pt>
                <c:pt idx="7">
                  <c:v>7.6950000000000003</c:v>
                </c:pt>
                <c:pt idx="8">
                  <c:v>5.7625000000000002</c:v>
                </c:pt>
                <c:pt idx="9">
                  <c:v>2.95</c:v>
                </c:pt>
                <c:pt idx="10">
                  <c:v>6.7166666666666659</c:v>
                </c:pt>
              </c:numCache>
            </c:numRef>
          </c:val>
          <c:extLst>
            <c:ext xmlns:c16="http://schemas.microsoft.com/office/drawing/2014/chart" uri="{C3380CC4-5D6E-409C-BE32-E72D297353CC}">
              <c16:uniqueId val="{00000002-4630-4B3C-A5F6-9D73525AC4F5}"/>
            </c:ext>
          </c:extLst>
        </c:ser>
        <c:ser>
          <c:idx val="3"/>
          <c:order val="3"/>
          <c:tx>
            <c:strRef>
              <c:f>'Pivot Tables'!$E$85</c:f>
              <c:strCache>
                <c:ptCount val="1"/>
                <c:pt idx="0">
                  <c:v>Average of avg_ph</c:v>
                </c:pt>
              </c:strCache>
            </c:strRef>
          </c:tx>
          <c:spPr>
            <a:solidFill>
              <a:schemeClr val="accent4"/>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Tables'!$E$86:$E$98</c:f>
              <c:numCache>
                <c:formatCode>General</c:formatCode>
                <c:ptCount val="12"/>
                <c:pt idx="0">
                  <c:v>7.7342105263157892</c:v>
                </c:pt>
                <c:pt idx="1">
                  <c:v>7.4166666666666643</c:v>
                </c:pt>
                <c:pt idx="2">
                  <c:v>7.15</c:v>
                </c:pt>
                <c:pt idx="3">
                  <c:v>7.7399999999999993</c:v>
                </c:pt>
                <c:pt idx="4">
                  <c:v>7.2113636363636378</c:v>
                </c:pt>
                <c:pt idx="5">
                  <c:v>7.7450000000000001</c:v>
                </c:pt>
                <c:pt idx="6">
                  <c:v>7.2249999999999988</c:v>
                </c:pt>
                <c:pt idx="7">
                  <c:v>7.745899999999998</c:v>
                </c:pt>
                <c:pt idx="8">
                  <c:v>7.6374999999999975</c:v>
                </c:pt>
                <c:pt idx="9">
                  <c:v>7.4249999999999998</c:v>
                </c:pt>
                <c:pt idx="10">
                  <c:v>7.4333333333333336</c:v>
                </c:pt>
              </c:numCache>
            </c:numRef>
          </c:val>
          <c:extLst>
            <c:ext xmlns:c16="http://schemas.microsoft.com/office/drawing/2014/chart" uri="{C3380CC4-5D6E-409C-BE32-E72D297353CC}">
              <c16:uniqueId val="{00000003-4630-4B3C-A5F6-9D73525AC4F5}"/>
            </c:ext>
          </c:extLst>
        </c:ser>
        <c:ser>
          <c:idx val="4"/>
          <c:order val="4"/>
          <c:tx>
            <c:strRef>
              <c:f>'Pivot Tables'!$F$85</c:f>
              <c:strCache>
                <c:ptCount val="1"/>
                <c:pt idx="0">
                  <c:v>Avg conductivity_mhocm</c:v>
                </c:pt>
              </c:strCache>
            </c:strRef>
          </c:tx>
          <c:spPr>
            <a:solidFill>
              <a:schemeClr val="accent5"/>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Tables'!$F$86:$F$98</c:f>
              <c:numCache>
                <c:formatCode>General</c:formatCode>
                <c:ptCount val="12"/>
                <c:pt idx="0">
                  <c:v>42094.894736842107</c:v>
                </c:pt>
                <c:pt idx="1">
                  <c:v>2094.681818181818</c:v>
                </c:pt>
                <c:pt idx="2">
                  <c:v>25920.5</c:v>
                </c:pt>
                <c:pt idx="3">
                  <c:v>1084.9142857142858</c:v>
                </c:pt>
                <c:pt idx="4">
                  <c:v>211.68181818181819</c:v>
                </c:pt>
                <c:pt idx="5">
                  <c:v>39406.5</c:v>
                </c:pt>
                <c:pt idx="6">
                  <c:v>142.75</c:v>
                </c:pt>
                <c:pt idx="7">
                  <c:v>759.63</c:v>
                </c:pt>
                <c:pt idx="8">
                  <c:v>24810.25</c:v>
                </c:pt>
                <c:pt idx="9">
                  <c:v>1475.25</c:v>
                </c:pt>
                <c:pt idx="10">
                  <c:v>890.16666666666663</c:v>
                </c:pt>
              </c:numCache>
            </c:numRef>
          </c:val>
          <c:extLst>
            <c:ext xmlns:c16="http://schemas.microsoft.com/office/drawing/2014/chart" uri="{C3380CC4-5D6E-409C-BE32-E72D297353CC}">
              <c16:uniqueId val="{00000004-4630-4B3C-A5F6-9D73525AC4F5}"/>
            </c:ext>
          </c:extLst>
        </c:ser>
        <c:ser>
          <c:idx val="5"/>
          <c:order val="5"/>
          <c:tx>
            <c:strRef>
              <c:f>'Pivot Tables'!$G$85</c:f>
              <c:strCache>
                <c:ptCount val="1"/>
                <c:pt idx="0">
                  <c:v>Avg bod_mgl</c:v>
                </c:pt>
              </c:strCache>
            </c:strRef>
          </c:tx>
          <c:spPr>
            <a:solidFill>
              <a:schemeClr val="accent6"/>
            </a:solidFill>
            <a:ln>
              <a:noFill/>
            </a:ln>
            <a:effectLst/>
          </c:spPr>
          <c:invertIfNegative val="0"/>
          <c:cat>
            <c:strRef>
              <c:f>'Pivot Tables'!$A$86:$A$98</c:f>
              <c:strCache>
                <c:ptCount val="12"/>
                <c:pt idx="0">
                  <c:v>BEACH</c:v>
                </c:pt>
                <c:pt idx="1">
                  <c:v>CANAL</c:v>
                </c:pt>
                <c:pt idx="2">
                  <c:v>CREEK</c:v>
                </c:pt>
                <c:pt idx="3">
                  <c:v>DRAIN</c:v>
                </c:pt>
                <c:pt idx="4">
                  <c:v>LAKE</c:v>
                </c:pt>
                <c:pt idx="5">
                  <c:v>MARINE</c:v>
                </c:pt>
                <c:pt idx="6">
                  <c:v>POND</c:v>
                </c:pt>
                <c:pt idx="7">
                  <c:v>RIVER</c:v>
                </c:pt>
                <c:pt idx="8">
                  <c:v>SEA</c:v>
                </c:pt>
                <c:pt idx="9">
                  <c:v>STP</c:v>
                </c:pt>
                <c:pt idx="10">
                  <c:v>WATER TREATMENT PLANT (RAW WATER)</c:v>
                </c:pt>
                <c:pt idx="11">
                  <c:v>(blank)</c:v>
                </c:pt>
              </c:strCache>
            </c:strRef>
          </c:cat>
          <c:val>
            <c:numRef>
              <c:f>'Pivot Tables'!$G$86:$G$98</c:f>
              <c:numCache>
                <c:formatCode>General</c:formatCode>
                <c:ptCount val="12"/>
                <c:pt idx="0">
                  <c:v>2.1026315789473675</c:v>
                </c:pt>
                <c:pt idx="1">
                  <c:v>7.1190476190476186</c:v>
                </c:pt>
                <c:pt idx="2">
                  <c:v>2.4</c:v>
                </c:pt>
                <c:pt idx="3">
                  <c:v>4.8642857142857148</c:v>
                </c:pt>
                <c:pt idx="4">
                  <c:v>4.9795454545454509</c:v>
                </c:pt>
                <c:pt idx="5">
                  <c:v>2.2399999999999971</c:v>
                </c:pt>
                <c:pt idx="6">
                  <c:v>2.3458333333333323</c:v>
                </c:pt>
                <c:pt idx="7">
                  <c:v>3.6475999999999971</c:v>
                </c:pt>
                <c:pt idx="8">
                  <c:v>3</c:v>
                </c:pt>
                <c:pt idx="9">
                  <c:v>14.1</c:v>
                </c:pt>
                <c:pt idx="10">
                  <c:v>1</c:v>
                </c:pt>
              </c:numCache>
            </c:numRef>
          </c:val>
          <c:extLst>
            <c:ext xmlns:c16="http://schemas.microsoft.com/office/drawing/2014/chart" uri="{C3380CC4-5D6E-409C-BE32-E72D297353CC}">
              <c16:uniqueId val="{00000005-4630-4B3C-A5F6-9D73525AC4F5}"/>
            </c:ext>
          </c:extLst>
        </c:ser>
        <c:dLbls>
          <c:showLegendKey val="0"/>
          <c:showVal val="0"/>
          <c:showCatName val="0"/>
          <c:showSerName val="0"/>
          <c:showPercent val="0"/>
          <c:showBubbleSize val="0"/>
        </c:dLbls>
        <c:gapWidth val="150"/>
        <c:overlap val="100"/>
        <c:axId val="1093473327"/>
        <c:axId val="1093477167"/>
      </c:barChart>
      <c:catAx>
        <c:axId val="109347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477167"/>
        <c:crosses val="autoZero"/>
        <c:auto val="1"/>
        <c:lblAlgn val="ctr"/>
        <c:lblOffset val="100"/>
        <c:noMultiLvlLbl val="0"/>
      </c:catAx>
      <c:valAx>
        <c:axId val="1093477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47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Source by WQI (Worst to Best)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Tables'!$C$104</c:f>
              <c:strCache>
                <c:ptCount val="1"/>
                <c:pt idx="0">
                  <c:v>WQI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Tables'!$B$105:$B$114</c:f>
              <c:strCache>
                <c:ptCount val="10"/>
                <c:pt idx="0">
                  <c:v>KAMALPUR BEEL</c:v>
                </c:pt>
                <c:pt idx="1">
                  <c:v> NEAR NEWTA DAM</c:v>
                </c:pt>
                <c:pt idx="2">
                  <c:v>SILSAKO BEEL</c:v>
                </c:pt>
                <c:pt idx="3">
                  <c:v>MADURAI</c:v>
                </c:pt>
                <c:pt idx="4">
                  <c:v>BUDAMERU CANAL</c:v>
                </c:pt>
                <c:pt idx="5">
                  <c:v>AMBERPET STP (339 MLD) - OUTLET</c:v>
                </c:pt>
                <c:pt idx="6">
                  <c:v>BHATIAN NALLAH U/S BHATIAN VILLAGE</c:v>
                </c:pt>
                <c:pt idx="7">
                  <c:v>SORU SOLA BEEL</c:v>
                </c:pt>
                <c:pt idx="8">
                  <c:v>AGRA CANAL</c:v>
                </c:pt>
                <c:pt idx="9">
                  <c:v>GUNTATHIPPA WITH RIVES CANAL </c:v>
                </c:pt>
              </c:strCache>
            </c:strRef>
          </c:cat>
          <c:val>
            <c:numRef>
              <c:f>'Pivot Tables'!$C$105:$C$114</c:f>
              <c:numCache>
                <c:formatCode>0.0</c:formatCode>
                <c:ptCount val="10"/>
                <c:pt idx="0">
                  <c:v>52.570370370370298</c:v>
                </c:pt>
                <c:pt idx="1">
                  <c:v>52.685185185185098</c:v>
                </c:pt>
                <c:pt idx="2">
                  <c:v>53.0555555555555</c:v>
                </c:pt>
                <c:pt idx="3">
                  <c:v>56.2777777777777</c:v>
                </c:pt>
                <c:pt idx="4">
                  <c:v>56.981481481481403</c:v>
                </c:pt>
                <c:pt idx="5">
                  <c:v>58.7259259259259</c:v>
                </c:pt>
                <c:pt idx="6">
                  <c:v>59.7222222222222</c:v>
                </c:pt>
                <c:pt idx="7">
                  <c:v>62.7777777777777</c:v>
                </c:pt>
                <c:pt idx="8">
                  <c:v>65.355555555555497</c:v>
                </c:pt>
                <c:pt idx="9">
                  <c:v>71.307407407407396</c:v>
                </c:pt>
              </c:numCache>
            </c:numRef>
          </c:val>
          <c:extLst>
            <c:ext xmlns:c16="http://schemas.microsoft.com/office/drawing/2014/chart" uri="{C3380CC4-5D6E-409C-BE32-E72D297353CC}">
              <c16:uniqueId val="{00000000-BB5B-4A69-9242-39CAE7C368F2}"/>
            </c:ext>
          </c:extLst>
        </c:ser>
        <c:dLbls>
          <c:dLblPos val="outEnd"/>
          <c:showLegendKey val="0"/>
          <c:showVal val="1"/>
          <c:showCatName val="0"/>
          <c:showSerName val="0"/>
          <c:showPercent val="0"/>
          <c:showBubbleSize val="0"/>
        </c:dLbls>
        <c:gapWidth val="182"/>
        <c:axId val="1231283807"/>
        <c:axId val="1231280927"/>
      </c:barChart>
      <c:catAx>
        <c:axId val="123128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80927"/>
        <c:crosses val="autoZero"/>
        <c:auto val="1"/>
        <c:lblAlgn val="ctr"/>
        <c:lblOffset val="100"/>
        <c:noMultiLvlLbl val="0"/>
      </c:catAx>
      <c:valAx>
        <c:axId val="123128092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83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411480</xdr:colOff>
      <xdr:row>2</xdr:row>
      <xdr:rowOff>11430</xdr:rowOff>
    </xdr:from>
    <xdr:to>
      <xdr:col>12</xdr:col>
      <xdr:colOff>190500</xdr:colOff>
      <xdr:row>14</xdr:row>
      <xdr:rowOff>99060</xdr:rowOff>
    </xdr:to>
    <xdr:graphicFrame macro="">
      <xdr:nvGraphicFramePr>
        <xdr:cNvPr id="2" name="Chart 1">
          <a:extLst>
            <a:ext uri="{FF2B5EF4-FFF2-40B4-BE49-F238E27FC236}">
              <a16:creationId xmlns:a16="http://schemas.microsoft.com/office/drawing/2014/main" id="{6197935E-B7C8-CCAC-F613-C8404C5FE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373380</xdr:colOff>
      <xdr:row>16</xdr:row>
      <xdr:rowOff>118110</xdr:rowOff>
    </xdr:from>
    <xdr:to>
      <xdr:col>20</xdr:col>
      <xdr:colOff>250371</xdr:colOff>
      <xdr:row>35</xdr:row>
      <xdr:rowOff>15240</xdr:rowOff>
    </xdr:to>
    <xdr:graphicFrame macro="">
      <xdr:nvGraphicFramePr>
        <xdr:cNvPr id="3" name="Chart 2">
          <a:extLst>
            <a:ext uri="{FF2B5EF4-FFF2-40B4-BE49-F238E27FC236}">
              <a16:creationId xmlns:a16="http://schemas.microsoft.com/office/drawing/2014/main" id="{EF131FC9-336D-40DB-9BA4-1232E70D0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37</xdr:row>
      <xdr:rowOff>171450</xdr:rowOff>
    </xdr:from>
    <xdr:to>
      <xdr:col>8</xdr:col>
      <xdr:colOff>464820</xdr:colOff>
      <xdr:row>52</xdr:row>
      <xdr:rowOff>171450</xdr:rowOff>
    </xdr:to>
    <xdr:graphicFrame macro="">
      <xdr:nvGraphicFramePr>
        <xdr:cNvPr id="4" name="Chart 3">
          <a:extLst>
            <a:ext uri="{FF2B5EF4-FFF2-40B4-BE49-F238E27FC236}">
              <a16:creationId xmlns:a16="http://schemas.microsoft.com/office/drawing/2014/main" id="{40B1111E-6255-AF4D-1A63-DD3F09F11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213631</xdr:colOff>
      <xdr:row>55</xdr:row>
      <xdr:rowOff>145597</xdr:rowOff>
    </xdr:from>
    <xdr:to>
      <xdr:col>7</xdr:col>
      <xdr:colOff>781050</xdr:colOff>
      <xdr:row>66</xdr:row>
      <xdr:rowOff>47625</xdr:rowOff>
    </xdr:to>
    <xdr:graphicFrame macro="">
      <xdr:nvGraphicFramePr>
        <xdr:cNvPr id="6" name="Chart 5">
          <a:extLst>
            <a:ext uri="{FF2B5EF4-FFF2-40B4-BE49-F238E27FC236}">
              <a16:creationId xmlns:a16="http://schemas.microsoft.com/office/drawing/2014/main" id="{7C00A1AF-0789-1A2E-9474-7B81C91A0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631372</xdr:colOff>
      <xdr:row>69</xdr:row>
      <xdr:rowOff>39462</xdr:rowOff>
    </xdr:from>
    <xdr:to>
      <xdr:col>8</xdr:col>
      <xdr:colOff>247651</xdr:colOff>
      <xdr:row>84</xdr:row>
      <xdr:rowOff>10887</xdr:rowOff>
    </xdr:to>
    <xdr:graphicFrame macro="">
      <xdr:nvGraphicFramePr>
        <xdr:cNvPr id="7" name="Chart 6">
          <a:extLst>
            <a:ext uri="{FF2B5EF4-FFF2-40B4-BE49-F238E27FC236}">
              <a16:creationId xmlns:a16="http://schemas.microsoft.com/office/drawing/2014/main" id="{DFFC9F81-AA72-BF5A-BCC7-4C66A16F2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525237</xdr:colOff>
      <xdr:row>83</xdr:row>
      <xdr:rowOff>93889</xdr:rowOff>
    </xdr:from>
    <xdr:to>
      <xdr:col>14</xdr:col>
      <xdr:colOff>447676</xdr:colOff>
      <xdr:row>103</xdr:row>
      <xdr:rowOff>171451</xdr:rowOff>
    </xdr:to>
    <xdr:graphicFrame macro="">
      <xdr:nvGraphicFramePr>
        <xdr:cNvPr id="10" name="Chart 9">
          <a:extLst>
            <a:ext uri="{FF2B5EF4-FFF2-40B4-BE49-F238E27FC236}">
              <a16:creationId xmlns:a16="http://schemas.microsoft.com/office/drawing/2014/main" id="{E854BA99-0654-C638-2408-7C0A31733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266700</xdr:colOff>
      <xdr:row>101</xdr:row>
      <xdr:rowOff>128588</xdr:rowOff>
    </xdr:from>
    <xdr:to>
      <xdr:col>9</xdr:col>
      <xdr:colOff>800100</xdr:colOff>
      <xdr:row>116</xdr:row>
      <xdr:rowOff>157163</xdr:rowOff>
    </xdr:to>
    <xdr:graphicFrame macro="">
      <xdr:nvGraphicFramePr>
        <xdr:cNvPr id="11" name="Chart 10">
          <a:extLst>
            <a:ext uri="{FF2B5EF4-FFF2-40B4-BE49-F238E27FC236}">
              <a16:creationId xmlns:a16="http://schemas.microsoft.com/office/drawing/2014/main" id="{740A1B2C-BF7D-ECA8-9825-2F13FF75C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3</xdr:row>
      <xdr:rowOff>22860</xdr:rowOff>
    </xdr:from>
    <xdr:to>
      <xdr:col>7</xdr:col>
      <xdr:colOff>434340</xdr:colOff>
      <xdr:row>16</xdr:row>
      <xdr:rowOff>167640</xdr:rowOff>
    </xdr:to>
    <xdr:graphicFrame macro="">
      <xdr:nvGraphicFramePr>
        <xdr:cNvPr id="3" name="Chart 2">
          <a:extLst>
            <a:ext uri="{FF2B5EF4-FFF2-40B4-BE49-F238E27FC236}">
              <a16:creationId xmlns:a16="http://schemas.microsoft.com/office/drawing/2014/main" id="{6328C14E-11D9-4135-A565-0B353DC95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426719</xdr:colOff>
      <xdr:row>3</xdr:row>
      <xdr:rowOff>15240</xdr:rowOff>
    </xdr:from>
    <xdr:to>
      <xdr:col>18</xdr:col>
      <xdr:colOff>581024</xdr:colOff>
      <xdr:row>17</xdr:row>
      <xdr:rowOff>0</xdr:rowOff>
    </xdr:to>
    <xdr:graphicFrame macro="">
      <xdr:nvGraphicFramePr>
        <xdr:cNvPr id="4" name="Chart 3">
          <a:extLst>
            <a:ext uri="{FF2B5EF4-FFF2-40B4-BE49-F238E27FC236}">
              <a16:creationId xmlns:a16="http://schemas.microsoft.com/office/drawing/2014/main" id="{98FE1724-1C23-46F9-8186-E4B479F5D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7</xdr:col>
      <xdr:colOff>426720</xdr:colOff>
      <xdr:row>32</xdr:row>
      <xdr:rowOff>32657</xdr:rowOff>
    </xdr:to>
    <xdr:graphicFrame macro="">
      <xdr:nvGraphicFramePr>
        <xdr:cNvPr id="5" name="Chart 4">
          <a:extLst>
            <a:ext uri="{FF2B5EF4-FFF2-40B4-BE49-F238E27FC236}">
              <a16:creationId xmlns:a16="http://schemas.microsoft.com/office/drawing/2014/main" id="{2FD9F304-0B71-4F1E-BD1D-17C16FE45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434340</xdr:colOff>
      <xdr:row>17</xdr:row>
      <xdr:rowOff>0</xdr:rowOff>
    </xdr:from>
    <xdr:to>
      <xdr:col>13</xdr:col>
      <xdr:colOff>213360</xdr:colOff>
      <xdr:row>32</xdr:row>
      <xdr:rowOff>0</xdr:rowOff>
    </xdr:to>
    <xdr:graphicFrame macro="">
      <xdr:nvGraphicFramePr>
        <xdr:cNvPr id="6" name="Chart 5">
          <a:extLst>
            <a:ext uri="{FF2B5EF4-FFF2-40B4-BE49-F238E27FC236}">
              <a16:creationId xmlns:a16="http://schemas.microsoft.com/office/drawing/2014/main" id="{44162F20-E77D-4C0B-8811-60255B5EA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213360</xdr:colOff>
      <xdr:row>16</xdr:row>
      <xdr:rowOff>175260</xdr:rowOff>
    </xdr:from>
    <xdr:to>
      <xdr:col>18</xdr:col>
      <xdr:colOff>600075</xdr:colOff>
      <xdr:row>31</xdr:row>
      <xdr:rowOff>175260</xdr:rowOff>
    </xdr:to>
    <xdr:graphicFrame macro="">
      <xdr:nvGraphicFramePr>
        <xdr:cNvPr id="7" name="Chart 6">
          <a:extLst>
            <a:ext uri="{FF2B5EF4-FFF2-40B4-BE49-F238E27FC236}">
              <a16:creationId xmlns:a16="http://schemas.microsoft.com/office/drawing/2014/main" id="{975D8478-C1B6-432D-8D69-6E5112C64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0</xdr:rowOff>
    </xdr:from>
    <xdr:to>
      <xdr:col>12</xdr:col>
      <xdr:colOff>38100</xdr:colOff>
      <xdr:row>49</xdr:row>
      <xdr:rowOff>133350</xdr:rowOff>
    </xdr:to>
    <xdr:graphicFrame macro="">
      <xdr:nvGraphicFramePr>
        <xdr:cNvPr id="8" name="Chart 7">
          <a:extLst>
            <a:ext uri="{FF2B5EF4-FFF2-40B4-BE49-F238E27FC236}">
              <a16:creationId xmlns:a16="http://schemas.microsoft.com/office/drawing/2014/main" id="{FE89F755-4D13-48DE-9BFB-C340FF0D3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47625</xdr:colOff>
      <xdr:row>32</xdr:row>
      <xdr:rowOff>19049</xdr:rowOff>
    </xdr:from>
    <xdr:to>
      <xdr:col>19</xdr:col>
      <xdr:colOff>38100</xdr:colOff>
      <xdr:row>49</xdr:row>
      <xdr:rowOff>133349</xdr:rowOff>
    </xdr:to>
    <xdr:graphicFrame macro="">
      <xdr:nvGraphicFramePr>
        <xdr:cNvPr id="9" name="Chart 8">
          <a:extLst>
            <a:ext uri="{FF2B5EF4-FFF2-40B4-BE49-F238E27FC236}">
              <a16:creationId xmlns:a16="http://schemas.microsoft.com/office/drawing/2014/main" id="{AD6C2AD1-6A1E-4006-A5E3-8AA4D9956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38099</xdr:colOff>
      <xdr:row>14</xdr:row>
      <xdr:rowOff>19050</xdr:rowOff>
    </xdr:from>
    <xdr:to>
      <xdr:col>21</xdr:col>
      <xdr:colOff>28574</xdr:colOff>
      <xdr:row>20</xdr:row>
      <xdr:rowOff>133350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D5ACA864-CB2E-4FDC-AAF6-BAD8067329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78534" y="2735746"/>
              <a:ext cx="2011431" cy="1240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20</xdr:row>
      <xdr:rowOff>133350</xdr:rowOff>
    </xdr:from>
    <xdr:to>
      <xdr:col>21</xdr:col>
      <xdr:colOff>38100</xdr:colOff>
      <xdr:row>48</xdr:row>
      <xdr:rowOff>0</xdr:rowOff>
    </xdr:to>
    <mc:AlternateContent xmlns:mc="http://schemas.openxmlformats.org/markup-compatibility/2006" xmlns:a14="http://schemas.microsoft.com/office/drawing/2010/main">
      <mc:Choice Requires="a14">
        <xdr:graphicFrame macro="">
          <xdr:nvGraphicFramePr>
            <xdr:cNvPr id="11" name="State Name">
              <a:extLst>
                <a:ext uri="{FF2B5EF4-FFF2-40B4-BE49-F238E27FC236}">
                  <a16:creationId xmlns:a16="http://schemas.microsoft.com/office/drawing/2014/main" id="{15BC9E84-7F54-4CB9-AFA7-88D471944005}"/>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mlns="">
        <xdr:sp macro="" textlink="">
          <xdr:nvSpPr>
            <xdr:cNvPr id="0" name=""/>
            <xdr:cNvSpPr>
              <a:spLocks noTextEdit="1"/>
            </xdr:cNvSpPr>
          </xdr:nvSpPr>
          <xdr:spPr>
            <a:xfrm>
              <a:off x="11578535" y="3976480"/>
              <a:ext cx="2020956" cy="5123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har Khandelwal" refreshedDate="45971.610839004628" createdVersion="8" refreshedVersion="8" minRefreshableVersion="3" recordCount="195" xr:uid="{C99EE8D6-A536-4166-914F-DBFEF61D6FF1}">
  <cacheSource type="worksheet">
    <worksheetSource name="Table13"/>
  </cacheSource>
  <cacheFields count="21">
    <cacheField name="STN code" numFmtId="0">
      <sharedItems containsString="0" containsBlank="1" containsNumber="1" containsInteger="1" minValue="1013" maxValue="30080"/>
    </cacheField>
    <cacheField name="Name" numFmtId="0">
      <sharedItems containsBlank="1" count="154">
        <s v=" JUMAR "/>
        <s v=" AJAY "/>
        <s v=" KONAR NEAR SWANG COAL WASHERY"/>
        <s v=" KONAR "/>
        <s v=" GARGA"/>
        <s v=" BOKARO "/>
        <s v=" SANKH "/>
        <s v=" BARAKAR "/>
        <s v=" DAMODAR NEAR ZARANGDIH BRIDGE"/>
        <s v=" DAMODAR NEAR ROHINI PROJECT"/>
        <s v=" DAMODAR "/>
        <s v=" TONS "/>
        <s v=" GIRI "/>
        <s v=" GIRI D/S KALGIDHAR TRUST"/>
        <s v=" GIRI AFTER CONFLUENCE OF ASHWANI  "/>
        <s v=" GIRI D/S S"/>
        <s v=" GIRI U/S LWSS "/>
        <s v=" GIRI D/S LWSS "/>
        <s v=" GIRI D/S CEMENT CORPOR"/>
        <s v=" BETWA NEAR W"/>
        <s v=" BETWA "/>
        <s v=" BETWA D/S AFTER MIXING OF  BAIS "/>
        <s v=" KALI SINDH "/>
        <s v=" BANAS BISULPUR DAM"/>
        <s v=" NEAR NEWTA DAM"/>
        <s v=" CHAMBAL ENTERING IN RAJASTHAN "/>
        <s v=" CHAMBAL "/>
        <s v=" SUTLEJ "/>
        <s v="OUTFALL OF M/S MATRIX LABORATORIES LTD "/>
        <s v="RUSHIKONDA BEACH"/>
        <s v=" UPPADA BEACH ROAD"/>
        <s v=" NEAR DEEP WATER PORT"/>
        <s v=" NEAR KUMBHABHISHEKAM TEMPALE"/>
        <s v="CONFLUENCE OF RIVER VASHISTA GODAVARI "/>
        <s v=" MANGINAPUDI BEACH"/>
        <s v="FISHING HARBOUR"/>
        <s v=" KOTHAPATNAM BEACH"/>
        <s v=" VODAREVU BEACH"/>
        <s v="KRISHNAPATNAM PORT"/>
        <s v="TIRACOL BEACH"/>
        <s v="MIRAMAR BEACH"/>
        <s v="CALANGUTE BEACH"/>
        <s v="MORJIM BEACH"/>
        <s v="BUDAMERU CANAL"/>
        <s v="ELERU CANAL"/>
        <s v="KRISHNA CANAL"/>
        <s v="SAMARLA KOTA CANAL"/>
        <s v="GOSTTA NADI- VELPURU CANAL"/>
        <s v="AGRA CANAL"/>
        <s v="WESTERN YAMUNA CANAL"/>
        <s v="CANAL UP STREAM OF CUNCOLIM INDL.EST. CUNCOLIM"/>
        <s v="CANAL DOWNSTREAM OF CUNCOLIM INDL.EST. CUNCOLIM"/>
        <s v="CUMBARJUA CANAL"/>
        <s v="NARMADA MAIN CANAL"/>
        <s v="Null"/>
        <s v="DIPLAI BEEL "/>
        <s v="DOLOO LAKE "/>
        <s v="ELANGABEEL SYSTEM"/>
        <s v="HAFLONG LAKE"/>
        <s v="HOLLUNGA BEEL "/>
        <s v="JUGIBEEL "/>
        <s v="KAMALABARI LAKE "/>
        <s v="KAMALPUR BEEL"/>
        <s v="LAUKHOWABEEL"/>
        <s v="MAGURI BEEL"/>
        <s v="MAGURI BEEL NEAR BRIDGE"/>
        <s v="MALINI BEEL "/>
        <s v="MER BEEL AT MADHABPUR"/>
        <s v="PANIDIHING BIRD SANCTUARY "/>
        <s v="PARASHALI BEEL "/>
        <s v="SAMAGURI BEEL "/>
        <s v="SARAN BEEL"/>
        <s v="SILSAKO BEEL"/>
        <s v="SON BEEL WATER "/>
        <s v="SORU SOLA BEEL"/>
        <s v="BASKANDI POND"/>
        <s v="BATODRAWA SATRA POND"/>
        <s v="BISHNU PUSKAR PUKHURI OF HAYAGRIB MADHAB TEMPLE"/>
        <s v="BORPUKHURI"/>
        <s v="BORPUKHURI AT SONARI"/>
        <s v="DIGHALI PUKHURI"/>
        <s v="GANGA PUKHURI"/>
        <s v="GAURISAGAR TANK"/>
        <s v="GOPHUR TANK"/>
        <s v="HARDOI PUKHURI"/>
        <s v="JAIPAL PUKHURI"/>
        <s v="JAYSAGAR TANK"/>
        <s v="JORPUKHURI AT UZANBAZAR (UGRATALA TEMPLE)"/>
        <s v="MAHAMAYA MANDIR PUKHURI"/>
        <s v="NETAI PUKHURI AT NETAI PUKHURI"/>
        <s v="PADUMPUKHURI"/>
        <s v="RAJADINIA PUKHURI AT ABHAYAPURI"/>
        <s v="RAJAPUKHURI AT GAURIPUR"/>
        <s v="RAJMAW PUKHURI"/>
        <s v="POND WATER FROM RAMKRISHNA MISSION AT HAILAKANDI"/>
        <s v="SIVASAGAR TANK (BORPUKHURI) NEAR SIVADOL"/>
        <s v="SUBHAGYA KUNDA POND KAMAKHYA TEMPLE"/>
        <s v="TENGA PUKHURI AT TENGAPUKHURI"/>
        <s v="THOWRADOLE PUKHURI"/>
        <s v="OUTFALL OF M/S. AUROBINDO PHARMA LTD. "/>
        <s v="OUTFALL OF M/S MATRIX LABORATORIES LTD."/>
        <s v="AFTER CONFLUENCE OF RIVER VASHISTA GODAVARI "/>
        <s v=" VADAREVU BEACH"/>
        <s v="CREEK AT DANDO MOLLO"/>
        <s v="MOBOR BEACH"/>
        <s v="TULJE BAGH CANAL"/>
        <s v="TAPI CANAL"/>
        <s v="FROM NARMADA MAIN CANAL"/>
        <s v=" SUTLEJ U/S LANDFILL SITE RAMPUR"/>
        <s v=" STLUJ D/S LANDFILL SITE RAMPUR"/>
        <s v=" SUTLEJ U/S KHAIRIAN SOLID WASTE DUMPING SITE BILASPUR"/>
        <s v=" SUTLEJ D/S KHAIRIAN SOLID WASTE DUMPING SITE BILASPUR"/>
        <s v=" SUTLEJ U/S CONFLUENCE WITH GANVI KHAND"/>
        <s v=" SUTLEJ D/S CONFLUENCE WITH GANVI KHAND"/>
        <s v="GUNTATHIPPA WITH RIVES CANAL "/>
        <s v="TULIA BAGH "/>
        <s v="NEAR HUDA/ HSVP WATER WORKS"/>
        <s v="WATER WORKS"/>
        <s v="ALHI KHAD  "/>
        <s v="BARAGRAM NALLAH BEFORE CONFLUENCE TO RIVER BEAS"/>
        <s v="BHATIAN NALLAH D/S SARA TEXTILE"/>
        <s v="BHATIAN NALLAH U/S BHATIAN VILLAGE"/>
        <s v="RAW WATER FOR LWSS OF CHURAT NALLAH"/>
        <s v="DHANESHAR NALLAH (U/S SAINJ WATER SUPPLY SCHEME) "/>
        <s v="HALOG NALLAH "/>
        <s v="HATHLI NALLAH LIFT WATER SUPPLY SCHEME FOR MUNICIPAL COUNCIL "/>
        <s v="HURLA NALLA D/S HURLA BRIDGE,"/>
        <s v="RAW WATER FOR LWSS OF JAGROTI NALLAH"/>
        <s v="JARANGLA NALLAH U/S WATER SUPPLY SCHEME"/>
        <s v="JARANGLA NALLAH D/S WATER SUPPLY SCHEME"/>
        <s v="KALAM NALLA D/S OF MSW PROCESSING SITE "/>
        <s v="KHALADA NALLAH NEAR WATER SUPPLY SCHEME FOR KULLU TOWN"/>
        <s v="KLUIN NALLAH U/S WATER SUPPLY SCHEME"/>
        <s v="LIFT WATER SUPPLY SCHEME (PANJARAR) AND BHOTA ROPARI &amp; UJHAN"/>
        <s v="KUNNI PUL"/>
        <s v="LIFT NALLAH BEFORE CONFLUENCE TO ASHWANI KHAD "/>
        <s v="MACHADA NALLAH, MAJHOUTI WATER SUPPLY SCHEME "/>
        <s v="MANALSU NALLAH NEAR WATER SUPPLY SCHEME "/>
        <s v="SAHU NALLAH U/S BHURI SINGH SHEP"/>
        <s v="SAHU NALLAH D/S BHURI SINGH SHEP"/>
        <s v="SAINJ NALLAH (U/S SAINJ WATER SUPPLY SCHEME AT DARGI)"/>
        <s v="SARVARI NALLAH BEFORE CONFLUENCE TO RIVER BEAS"/>
        <s v="SUKHANA NALLAH AT PARWANOO "/>
        <s v="SURAJMUKHI NALLAH U/S WSS GALAYANA D/S OF SHOOLINI UNIVERSITY"/>
        <s v="SURAJMUKHI NALLAH D/S STP AT U/S OF SHOOLINI UNIVERSITY SAMTI SOLAN"/>
        <s v="NALA AT D/S OF AKLAI MANDIR"/>
        <s v="CHIKHALI NALA MEETS GODAVARI RIVER"/>
        <s v="PIMPAL-PANERI NALA AT RATNAGIRI NEAR FINOLEX INDUSTRIES"/>
        <s v="GURADIH NALLAH AT PANPOSH"/>
        <s v="MADURAI"/>
        <s v="RIVER GODAVARI - OUTLET OF ASH POND EFFLUENTS OF M/S.NTPC"/>
        <s v="RIVER MANERU (TRIBUTARY OF GODAVARI) "/>
        <s v="AMBERPET STP (339 MLD) - OUTLET"/>
        <m/>
      </sharedItems>
    </cacheField>
    <cacheField name="Location" numFmtId="0">
      <sharedItems containsBlank="1" count="133">
        <s v=" BIT MESRA, RANCHI"/>
        <s v=" KANKE DAM"/>
        <s v=" MASANJORE DAM"/>
        <s v=" BOKARO"/>
        <s v=" TENUGH DAM"/>
        <s v=" NEAR TELMUCHO BRIDGE"/>
        <s v=" ZARANGDIH BRIDGE"/>
        <s v=" BOLBA, JHARKHAND"/>
        <s v=" MAITHAN DAM"/>
        <s v=" NK AREA,  PO-DAKRA"/>
        <s v="NEAR TELMUCHO BRIDGE"/>
        <s v=" TIUNI (HIMACHAL PRADESH/UTTRA KHAND BORDER)"/>
        <s v=" HARIPUR (U.K.)"/>
        <s v="D/S RAJGARH TOWN"/>
        <s v=" BARU SAHIB"/>
        <s v="U/S CHAILLA"/>
        <s v=" YASHWANT NAGAR- NEAR SHANI MANDIR"/>
        <s v=" VILLAGE MARYOG"/>
        <s v=" U/S CCI MINES "/>
        <s v="AUN"/>
        <s v=" SAINJ"/>
        <s v="ION OF INDIA,  BANGRAN BRIDGE"/>
        <s v="ER SUPPLY INTAKE WELL "/>
        <s v=" AGASOD,  BINA"/>
        <s v=" M/S J.P. THERMAL POWER"/>
        <s v=" CHARANTIRGH, VIDISHA"/>
        <s v=" VIDISHA"/>
        <s v=" U/S NEAR ROAD BRIDGE ORCHHA"/>
        <s v=" KANJIA ROAD BRIDGE"/>
        <s v=" ANICUT OF M/S CFCL GADEPAN"/>
        <s v=" BAROD ROAD BRIDGE"/>
        <s v=" TONK"/>
        <s v="JAIPUR"/>
        <s v=" GANDHI SAGAR DAM, CHITTORGARH"/>
        <s v=" TAL VILLAGE NEAR BRIDGE"/>
        <s v=" RANASTHALAM (M)"/>
        <s v=" PUSAPATIREGA (M)"/>
        <s v="VISAKHAPATNAM"/>
        <s v="KAKINADA"/>
        <s v="KAKINADA (1KM AWAY FROM JETTY)"/>
        <s v=" KAKINADA"/>
        <s v=" NARSAPUR (M)"/>
        <s v="MACHILIPATNAM (V &amp; M)"/>
        <s v=" NIZAMPATNAM (V &amp; M)"/>
        <m/>
        <s v="CHIRALA"/>
        <s v="Null"/>
        <s v=" GANNAVARAM (M)"/>
        <s v="PARAVADA (M)"/>
        <s v=" ELURU"/>
        <s v="SAMARLA KOTA (V &amp; M)"/>
        <s v=" TANUKU"/>
        <s v=" MADANPUR KHADAR"/>
        <s v="AT HAIDERPUR WATER WORKS"/>
        <s v=" SALCETE (1 KM FROM M/S NICOMENT INDUSTRIES)"/>
        <s v=" SALCETE (NEAR RAILWAY BRIDGE)"/>
        <s v=" CORLIM(DISCHARGE POINT OF SYNGENTA LIMITED)"/>
        <s v="NARMADA CANAL AT LIMBADIYA"/>
        <s v="NEAR AZARA RAILWAY STATION, GANAKPARA CHAKARDOI"/>
        <s v="AT THE CENTER OF DEEPORBEEL"/>
        <s v="SILGARA, KOKRAJHAR"/>
        <s v="CACHAR"/>
        <s v=" ASSAM"/>
        <s v=" HAFLONG TOWN"/>
        <s v=" NEAR GAI NADI/ RIVER AT SOMARAJAN DHEMA JI"/>
        <s v=" GOLAGHAT"/>
        <s v="INSIDE KAMALABARI CHILDREN'S PARK  GELEKY"/>
        <s v=" KAMALPUR"/>
        <s v="DHUBRI"/>
        <s v=" GUIJAN"/>
        <s v="TINSUKIA"/>
        <s v="NEAR INDUTRIAL AREA AT RAMNAGAR"/>
        <s v="SIVASAGAR"/>
        <s v="AT DEMORIA"/>
        <s v="IN NAGAON DISTRICT"/>
        <s v=" CHACHAL"/>
        <s v="AT KARIMGANJ"/>
        <s v=" PALTAN BAZAR"/>
        <s v=" INSIDE THE BASKANDI MADRASA, BASKANDI, ASSAM"/>
        <s v="NAGAON, ASSAM"/>
        <s v="HAJO, ASSAM"/>
        <s v=" NAZIRA"/>
        <s v=" GUWAHATI"/>
        <s v=" NALBARI (GORDON SCHOOL)"/>
        <s v=" GAURISAGAR"/>
        <s v=" GOPHUR"/>
        <s v=" CHARAIDEW"/>
        <s v=" SIPAJHAR"/>
        <s v=" SIVASAGAR"/>
        <s v=" TEZPUR"/>
        <s v=" JORHAT"/>
        <s v=" THOWRADOLE G.P. DEMOW BLOCK"/>
        <s v="RANASTHALAM (M)"/>
        <s v="MACHILIPATNAM"/>
        <s v=" NIZAMPATNAM"/>
        <s v="VELSAO, MAMUGAO"/>
        <s v=" EAST GODAVARI"/>
        <s v=" KRISHNA"/>
        <s v=" NEAR PHARMA CITY"/>
        <s v=" ELIRU"/>
        <s v=" ATTILI (M)"/>
        <s v=" DIST. GANDHINAGAR."/>
        <s v=" NEAR GIDC ESTATE OF PANOLI."/>
        <s v=" GODHRA,  DIST PANCHMAHAL"/>
        <s v=" U/S T"/>
        <s v=" NANGAL (H.P.)"/>
        <s v=" U/S SLAPPER"/>
        <s v=" D/S SLAPPER"/>
        <s v=" D/S BHAKHRA"/>
        <s v=" NOORPUR BEDI ROAD (PUNJAB)"/>
        <s v=" D/S KIR"/>
        <s v=" VIJAYAWADA TOWN"/>
        <s v=" VEMULAVADA (M)"/>
        <s v="BASAI, GURUGRAM"/>
        <s v="GURGAON"/>
        <s v="AT VILL. NOG"/>
        <s v=" NALAGARH"/>
        <s v="NEAR GYASI MATA MANDIR"/>
        <s v="NEAR HALOG WATER SUPPLY SCHEME"/>
        <s v="HAMIRPUR"/>
        <s v=" DIS. KULLU"/>
        <s v=" DIST. CHAMBA"/>
        <s v=" TEHSIL ARKI"/>
        <s v="NEAR DOGRHA BRIDGE"/>
        <s v="NEAR NIRATH"/>
        <s v="MANALI TOWN"/>
        <s v=" EXIT POINT OF H. P."/>
        <s v=" DISTRICT- SOLAPUR."/>
        <s v=" DISTRICT- NASHIK."/>
        <s v=" DISTRICT- RATNAGIRI."/>
        <s v=" RAMAGUNDAM"/>
        <s v="JAYASHANKAR BHUPALAPALLI DISTRICT"/>
        <s v="AMBERPET (V&amp;M), HYDERABAD"/>
      </sharedItems>
    </cacheField>
    <cacheField name="Year" numFmtId="0">
      <sharedItems containsString="0" containsBlank="1" containsNumber="1" containsInteger="1" minValue="2021" maxValue="2023" count="4">
        <n v="2022"/>
        <n v="2023"/>
        <n v="2021"/>
        <m/>
      </sharedItems>
    </cacheField>
    <cacheField name="Type Water Body" numFmtId="0">
      <sharedItems containsBlank="1" count="12">
        <s v="RIVER"/>
        <s v="MARINE"/>
        <s v="BEACH"/>
        <s v="SEA"/>
        <s v="CANAL"/>
        <s v="LAKE"/>
        <s v="POND"/>
        <s v="CREEK"/>
        <s v="DRAIN"/>
        <s v="WATER TREATMENT PLANT (RAW WATER)"/>
        <s v="STP"/>
        <m/>
      </sharedItems>
    </cacheField>
    <cacheField name="State Name" numFmtId="0">
      <sharedItems containsBlank="1" count="18">
        <s v="JHARKHAND"/>
        <s v="HIMACHAL PRADESH"/>
        <s v="UTTARAKHAND"/>
        <s v="MADHYA PRADESH"/>
        <s v="RAJASTHAN"/>
        <s v="ANDHRA PRADESH"/>
        <s v="GOA"/>
        <s v="DELHI"/>
        <s v="GUJARAT"/>
        <s v="ASSAM"/>
        <s v="PUNJAB"/>
        <s v="HARYANA"/>
        <s v="MAHARASHTRA"/>
        <s v="ODISHA"/>
        <s v="TAMIL NADU"/>
        <s v="TELANGANA"/>
        <s v="UTTAR PRADESH"/>
        <m/>
      </sharedItems>
    </cacheField>
    <cacheField name="avg_temperature " numFmtId="0">
      <sharedItems containsString="0" containsBlank="1" containsNumber="1" minValue="7" maxValue="426" count="57">
        <n v="20.5"/>
        <n v="19"/>
        <n v="26.5"/>
        <n v="24.5"/>
        <n v="22.5"/>
        <n v="26"/>
        <n v="19.5"/>
        <n v="25.5"/>
        <n v="20"/>
        <n v="22.25"/>
        <n v="16"/>
        <n v="18.75"/>
        <n v="23.5"/>
        <n v="15"/>
        <n v="12"/>
        <n v="12.5"/>
        <n v="23"/>
        <n v="15.5"/>
        <n v="18.5"/>
        <n v="25"/>
        <n v="27"/>
        <n v="27.5"/>
        <n v="28"/>
        <n v="24"/>
        <n v="29"/>
        <n v="30"/>
        <n v="28.5"/>
        <n v="365"/>
        <n v="426"/>
        <n v="22"/>
        <n v="21"/>
        <n v="30.5"/>
        <n v="29.5"/>
        <n v="31"/>
        <n v="11.75"/>
        <n v="11.55"/>
        <n v="11.45"/>
        <n v="15.65"/>
        <n v="15.6"/>
        <n v="17"/>
        <n v="14.6"/>
        <n v="14.75"/>
        <n v="17.100000000000001"/>
        <n v="17.45"/>
        <n v="14.65"/>
        <n v="7"/>
        <n v="11.5"/>
        <n v="14"/>
        <n v="10.5"/>
        <n v="11"/>
        <n v="13"/>
        <n v="10"/>
        <n v="7.5"/>
        <n v="9.5"/>
        <n v="8"/>
        <n v="32"/>
        <m/>
      </sharedItems>
    </cacheField>
    <cacheField name="avg_dissolved" numFmtId="0">
      <sharedItems containsString="0" containsBlank="1" containsNumber="1" minValue="0.7" maxValue="9.5500000000000007" count="105">
        <n v="4.25"/>
        <n v="6.55"/>
        <n v="6.1999999999999904"/>
        <n v="7.6"/>
        <n v="7.7"/>
        <n v="7"/>
        <n v="7.6999999999999904"/>
        <n v="8.15"/>
        <n v="7.55"/>
        <n v="8.1"/>
        <n v="7.9"/>
        <n v="8.0500000000000007"/>
        <n v="9.0500000000000007"/>
        <n v="7.8"/>
        <n v="7.75"/>
        <n v="8.1999999999999993"/>
        <n v="7.65"/>
        <n v="8.5500000000000007"/>
        <n v="6.75"/>
        <n v="6.9499999999999904"/>
        <n v="9.3000000000000007"/>
        <n v="9.4"/>
        <n v="7.05"/>
        <n v="4.6500000000000004"/>
        <n v="4.4000000000000004"/>
        <n v="4.95"/>
        <n v="2.25"/>
        <n v="5.8"/>
        <n v="6.2"/>
        <n v="5.9"/>
        <n v="6.65"/>
        <n v="6.6"/>
        <n v="6.15"/>
        <n v="5.65"/>
        <n v="5.85"/>
        <n v="6.05"/>
        <n v="6.7"/>
        <n v="6.4"/>
        <n v="2.35"/>
        <n v="5.5"/>
        <n v="6.3"/>
        <n v="5.2"/>
        <n v="5.75"/>
        <n v="0.9"/>
        <m/>
        <n v="7.35"/>
        <n v="8"/>
        <n v="5.4"/>
        <n v="5.3"/>
        <n v="4.9000000000000004"/>
        <n v="5.4499999999999904"/>
        <n v="6.5"/>
        <n v="6.25"/>
        <n v="3.25"/>
        <n v="7.3999999999999897"/>
        <n v="7.25"/>
        <n v="4.75"/>
        <n v="5.6"/>
        <n v="6.1"/>
        <n v="7.3"/>
        <n v="2.44999999999999"/>
        <n v="5.7"/>
        <n v="0.7"/>
        <n v="4.8499999999999996"/>
        <n v="8.5"/>
        <n v="6.9"/>
        <n v="7.15"/>
        <n v="6.35"/>
        <n v="5.25"/>
        <n v="5.0999999999999996"/>
        <n v="4.3"/>
        <n v="4.3499999999999996"/>
        <n v="4.45"/>
        <n v="4.5999999999999996"/>
        <n v="6.85"/>
        <n v="6.4499999999999904"/>
        <n v="4.1500000000000004"/>
        <n v="6"/>
        <n v="5.35"/>
        <n v="1.4"/>
        <n v="5.9499999999999904"/>
        <n v="8.75"/>
        <n v="9"/>
        <n v="8.9"/>
        <n v="8.9499999999999993"/>
        <n v="9.1999999999999993"/>
        <n v="8.8000000000000007"/>
        <n v="9.5500000000000007"/>
        <n v="8.6999999999999993"/>
        <n v="1.05"/>
        <n v="5"/>
        <n v="7.6499999999999897"/>
        <n v="9.5"/>
        <n v="8.4499999999999993"/>
        <n v="9.1"/>
        <n v="8.3000000000000007"/>
        <n v="9.25"/>
        <n v="8.6"/>
        <n v="4.8"/>
        <n v="3.15"/>
        <n v="7.45"/>
        <n v="4"/>
        <n v="3.8"/>
        <n v="4.4499999999999904"/>
        <n v="2.75"/>
      </sharedItems>
    </cacheField>
    <cacheField name="avg_ph" numFmtId="0">
      <sharedItems containsString="0" containsBlank="1" containsNumber="1" minValue="6.5" maxValue="9.85" count="60">
        <n v="6.55"/>
        <n v="7.55"/>
        <n v="7.65"/>
        <n v="7.4499999999999904"/>
        <n v="7.6"/>
        <n v="7.35"/>
        <n v="7.3"/>
        <n v="7.4"/>
        <n v="7.5"/>
        <n v="7.83"/>
        <n v="8.3000000000000007"/>
        <n v="7.91"/>
        <n v="8.02"/>
        <n v="7.7050000000000001"/>
        <n v="7.92"/>
        <n v="8.01"/>
        <n v="8.0449999999999999"/>
        <n v="7.9649999999999999"/>
        <n v="7.7549999999999999"/>
        <n v="7.77"/>
        <n v="7.88"/>
        <n v="7.6050000000000004"/>
        <n v="7.84"/>
        <n v="8.09"/>
        <n v="7.6749999999999998"/>
        <n v="7.9850000000000003"/>
        <n v="8.2200000000000006"/>
        <n v="8.3550000000000004"/>
        <n v="8.3249999999999993"/>
        <n v="8.3949999999999996"/>
        <n v="7.74"/>
        <n v="7.6550000000000002"/>
        <n v="7.9"/>
        <n v="8.1"/>
        <n v="8.15"/>
        <n v="7.6499999999999897"/>
        <n v="7.75"/>
        <n v="7.85"/>
        <n v="8"/>
        <n v="7.8"/>
        <n v="6.5"/>
        <n v="6.65"/>
        <n v="7.25"/>
        <n v="7.1"/>
        <n v="7"/>
        <n v="7.05"/>
        <n v="6.9"/>
        <n v="7.15"/>
        <n v="8.0500000000000007"/>
        <n v="7.45"/>
        <n v="7.1999999999999904"/>
        <n v="7.2"/>
        <n v="6.85"/>
        <n v="7.8999999999999897"/>
        <n v="7.6999999999999904"/>
        <n v="7.7"/>
        <n v="7.95"/>
        <n v="6.6"/>
        <n v="9.85"/>
        <m/>
      </sharedItems>
    </cacheField>
    <cacheField name="avg_conductivity_mhocm" numFmtId="0">
      <sharedItems containsString="0" containsBlank="1" containsNumber="1" minValue="54.5" maxValue="48350"/>
    </cacheField>
    <cacheField name="avg_bod_mgl" numFmtId="0">
      <sharedItems containsString="0" containsBlank="1" containsNumber="1" minValue="1" maxValue="51.5"/>
    </cacheField>
    <cacheField name="avg_nitraten_mgl" numFmtId="0">
      <sharedItems containsString="0" containsBlank="1" containsNumber="1" minValue="0.3" maxValue="9.8949999999999996"/>
    </cacheField>
    <cacheField name="avg_fecal_coliform_mpn100ml" numFmtId="0">
      <sharedItems containsString="0" containsBlank="1" containsNumber="1" minValue="2" maxValue="7024500"/>
    </cacheField>
    <cacheField name="avg_fecal_coliform_mpn100ml2" numFmtId="0">
      <sharedItems containsString="0" containsBlank="1" containsNumber="1" minValue="2" maxValue="7395000"/>
    </cacheField>
    <cacheField name="wq_score_do" numFmtId="0">
      <sharedItems containsString="0" containsBlank="1" containsNumber="1" minValue="0" maxValue="88.3333333333333"/>
    </cacheField>
    <cacheField name="wq_score_bod" numFmtId="0">
      <sharedItems containsString="0" containsBlank="1" containsNumber="1" minValue="0" maxValue="100"/>
    </cacheField>
    <cacheField name="wq_score_ph" numFmtId="0">
      <sharedItems containsString="0" containsBlank="1" containsNumber="1" minValue="0" maxValue="94.999999999999901"/>
    </cacheField>
    <cacheField name="wq_score_tcol" numFmtId="0">
      <sharedItems containsString="0" containsBlank="1" containsNumber="1" minValue="0" maxValue="100"/>
    </cacheField>
    <cacheField name="wq_score_cond" numFmtId="0">
      <sharedItems containsString="0" containsBlank="1" containsNumber="1" minValue="0" maxValue="100"/>
    </cacheField>
    <cacheField name="WQI" numFmtId="0">
      <sharedItems containsString="0" containsBlank="1" containsNumber="1" minValue="0" maxValue="71.307407407407396" count="115">
        <n v="9.7222222222222197"/>
        <n v="0"/>
        <n v="10.423456790123399"/>
        <n v="11.1111111111111"/>
        <n v="2.9629629629629601"/>
        <n v="3.8271604938271602"/>
        <n v="13.385185185185099"/>
        <n v="2.7987654320987598"/>
        <n v="3.4530864197530802"/>
        <n v="13.5592592592592"/>
        <n v="2.4580246913580202"/>
        <n v="6.0493827160493803"/>
        <n v="7.4074074074074001E-2"/>
        <n v="34.148148148148103"/>
        <n v="34.251851851851796"/>
        <n v="10.6407407407407"/>
        <n v="14.481481481481399"/>
        <n v="10.687654320987599"/>
        <n v="52.685185185185098"/>
        <n v="5.9703703703703699"/>
        <n v="23.1444444444444"/>
        <n v="11.950617283950599"/>
        <n v="13.5061728395061"/>
        <n v="12.7654320987654"/>
        <n v="12.3209876543209"/>
        <n v="16.851851851851801"/>
        <n v="16.345679012345599"/>
        <n v="11.9629629629629"/>
        <n v="13.913580246913501"/>
        <n v="15.969135802469101"/>
        <n v="15.870370370370299"/>
        <n v="13.395061728395"/>
        <n v="13.6666666666666"/>
        <n v="16.827160493827101"/>
        <n v="17.901234567901199"/>
        <n v="17.518518518518501"/>
        <n v="13.6172839506172"/>
        <n v="56.981481481481403"/>
        <n v="8.1481481481481506"/>
        <n v="5.9259259259259203"/>
        <n v="21.481481481481399"/>
        <n v="4.5987654320987597"/>
        <n v="50.5555555555555"/>
        <n v="12.714814814814799"/>
        <n v="12.8888888888888"/>
        <n v="23.3333333333333"/>
        <n v="29.629629629629601"/>
        <n v="14.4444444444444"/>
        <n v="21.6666666666666"/>
        <n v="17.2222222222222"/>
        <n v="14.1666666666666"/>
        <n v="52.570370370370298"/>
        <n v="15"/>
        <n v="18.0555555555555"/>
        <n v="13.3333333333333"/>
        <n v="53.0555555555555"/>
        <n v="12.7777777777777"/>
        <n v="62.7777777777777"/>
        <n v="17.5"/>
        <n v="15.5555555555555"/>
        <n v="15.2777777777777"/>
        <n v="13.0555555555555"/>
        <n v="11.839506172839499"/>
        <n v="12.148148148148101"/>
        <n v="16.629629629629601"/>
        <n v="14.925925925925901"/>
        <n v="29.1358024691358"/>
        <n v="21.0555555555555"/>
        <n v="20.5"/>
        <n v="18.253086419753"/>
        <n v="19.4197530864197"/>
        <n v="19.1419753086419"/>
        <n v="22.2222222222222"/>
        <n v="21.839506172839499"/>
        <n v="14.604938271604899"/>
        <n v="14.938271604938199"/>
        <n v="21.518518518518501"/>
        <n v="16.950617283950599"/>
        <n v="11.7283950617283"/>
        <n v="39.537037037037003"/>
        <n v="28.765432098765402"/>
        <n v="1.3950617283950599"/>
        <n v="13.7913580246913"/>
        <n v="8.1913580246913593"/>
        <n v="65.355555555555497"/>
        <n v="0.27777777777778101"/>
        <n v="1.57407407407407"/>
        <n v="7.19629629629629"/>
        <n v="2.93827160493827"/>
        <n v="5.5679012345679002"/>
        <n v="71.307407407407396"/>
        <n v="17.037037037036999"/>
        <n v="15.6296296296296"/>
        <n v="17.629629629629601"/>
        <n v="7.0370370370370301"/>
        <n v="50"/>
        <n v="59.7222222222222"/>
        <n v="7.1604938271604901"/>
        <n v="3.7037037037036999E-3"/>
        <n v="13.979012345678999"/>
        <n v="33.3333333333333"/>
        <n v="6.4691358024691299"/>
        <n v="6.4074074074074003"/>
        <n v="35.322222222222202"/>
        <n v="15.2691358024691"/>
        <n v="3.57407407407407"/>
        <n v="47.3888888888888"/>
        <n v="42.6654320987654"/>
        <n v="44.6111111111111"/>
        <n v="56.2777777777777"/>
        <n v="39.624691358024698"/>
        <n v="10.0111111111111"/>
        <n v="58.7259259259259"/>
        <n v="1.94444444444444"/>
        <m/>
      </sharedItems>
    </cacheField>
    <cacheField name="WQI_Category" numFmtId="0">
      <sharedItems containsBlank="1" count="4">
        <s v="Excellent"/>
        <s v="Good"/>
        <s v="Moderate"/>
        <m/>
      </sharedItems>
    </cacheField>
  </cacheFields>
  <extLst>
    <ext xmlns:x14="http://schemas.microsoft.com/office/spreadsheetml/2009/9/main" uri="{725AE2AE-9491-48be-B2B4-4EB974FC3084}">
      <x14:pivotCacheDefinition pivotCacheId="1974090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n v="4085"/>
    <x v="0"/>
    <x v="0"/>
    <x v="0"/>
    <x v="0"/>
    <x v="0"/>
    <x v="0"/>
    <x v="0"/>
    <x v="0"/>
    <n v="776"/>
    <n v="2.4500000000000002"/>
    <n v="0.84000000000000008"/>
    <n v="2.2349999999999999"/>
    <n v="84.42"/>
    <n v="29.1666666666666"/>
    <n v="0"/>
    <n v="0"/>
    <n v="0"/>
    <n v="0"/>
    <x v="0"/>
    <x v="0"/>
  </r>
  <r>
    <n v="2396"/>
    <x v="0"/>
    <x v="1"/>
    <x v="0"/>
    <x v="0"/>
    <x v="0"/>
    <x v="1"/>
    <x v="1"/>
    <x v="1"/>
    <n v="776"/>
    <n v="2.5499999999999998"/>
    <n v="0.84000000000000008"/>
    <n v="2.2349999999999999"/>
    <n v="84.42"/>
    <n v="0"/>
    <n v="0"/>
    <n v="0"/>
    <n v="0"/>
    <n v="0"/>
    <x v="1"/>
    <x v="0"/>
  </r>
  <r>
    <n v="2401"/>
    <x v="1"/>
    <x v="2"/>
    <x v="0"/>
    <x v="0"/>
    <x v="0"/>
    <x v="2"/>
    <x v="2"/>
    <x v="2"/>
    <n v="206"/>
    <n v="1.45"/>
    <n v="0.84000000000000008"/>
    <n v="2.2349999999999999"/>
    <n v="84.42"/>
    <n v="0"/>
    <n v="0"/>
    <n v="0"/>
    <n v="0"/>
    <n v="0"/>
    <x v="1"/>
    <x v="0"/>
  </r>
  <r>
    <n v="3554"/>
    <x v="2"/>
    <x v="3"/>
    <x v="0"/>
    <x v="0"/>
    <x v="0"/>
    <x v="2"/>
    <x v="3"/>
    <x v="3"/>
    <n v="776"/>
    <n v="2.25"/>
    <n v="0.84000000000000008"/>
    <n v="2.2349999999999999"/>
    <n v="84.42"/>
    <n v="0"/>
    <n v="0"/>
    <n v="0"/>
    <n v="0"/>
    <n v="0"/>
    <x v="1"/>
    <x v="0"/>
  </r>
  <r>
    <n v="2390"/>
    <x v="3"/>
    <x v="4"/>
    <x v="0"/>
    <x v="0"/>
    <x v="0"/>
    <x v="3"/>
    <x v="4"/>
    <x v="4"/>
    <n v="776"/>
    <n v="1.65"/>
    <n v="0.84000000000000008"/>
    <n v="2.2349999999999999"/>
    <n v="84.42"/>
    <n v="0"/>
    <n v="0"/>
    <n v="0"/>
    <n v="0"/>
    <n v="0"/>
    <x v="1"/>
    <x v="0"/>
  </r>
  <r>
    <n v="4000"/>
    <x v="4"/>
    <x v="5"/>
    <x v="0"/>
    <x v="0"/>
    <x v="0"/>
    <x v="4"/>
    <x v="5"/>
    <x v="5"/>
    <n v="776"/>
    <n v="2.9"/>
    <n v="0.84000000000000008"/>
    <n v="2.2349999999999999"/>
    <n v="84.42"/>
    <n v="0"/>
    <n v="0"/>
    <n v="0"/>
    <n v="0"/>
    <n v="0"/>
    <x v="1"/>
    <x v="0"/>
  </r>
  <r>
    <n v="2381"/>
    <x v="5"/>
    <x v="6"/>
    <x v="0"/>
    <x v="0"/>
    <x v="0"/>
    <x v="5"/>
    <x v="6"/>
    <x v="6"/>
    <n v="776"/>
    <n v="2.2000000000000002"/>
    <n v="0.84000000000000008"/>
    <n v="2.2349999999999999"/>
    <n v="84.42"/>
    <n v="0"/>
    <n v="0"/>
    <n v="0"/>
    <n v="0"/>
    <n v="0"/>
    <x v="1"/>
    <x v="0"/>
  </r>
  <r>
    <n v="1034"/>
    <x v="6"/>
    <x v="7"/>
    <x v="0"/>
    <x v="0"/>
    <x v="0"/>
    <x v="6"/>
    <x v="7"/>
    <x v="7"/>
    <n v="776"/>
    <n v="1.45"/>
    <n v="0.84000000000000008"/>
    <n v="2.2349999999999999"/>
    <n v="84.42"/>
    <n v="0"/>
    <n v="0"/>
    <n v="0"/>
    <n v="0"/>
    <n v="0"/>
    <x v="1"/>
    <x v="0"/>
  </r>
  <r>
    <n v="2392"/>
    <x v="7"/>
    <x v="8"/>
    <x v="0"/>
    <x v="0"/>
    <x v="0"/>
    <x v="6"/>
    <x v="8"/>
    <x v="8"/>
    <n v="776"/>
    <n v="1.7999999999999901"/>
    <n v="0.84000000000000008"/>
    <n v="2.2349999999999999"/>
    <n v="84.42"/>
    <n v="0"/>
    <n v="0"/>
    <n v="0"/>
    <n v="0"/>
    <n v="0"/>
    <x v="1"/>
    <x v="0"/>
  </r>
  <r>
    <n v="3555"/>
    <x v="8"/>
    <x v="3"/>
    <x v="0"/>
    <x v="0"/>
    <x v="0"/>
    <x v="7"/>
    <x v="9"/>
    <x v="8"/>
    <n v="776"/>
    <n v="2.25"/>
    <n v="0.84000000000000008"/>
    <n v="2.2349999999999999"/>
    <n v="84.42"/>
    <n v="0"/>
    <n v="0"/>
    <n v="0"/>
    <n v="0"/>
    <n v="0"/>
    <x v="1"/>
    <x v="0"/>
  </r>
  <r>
    <n v="4083"/>
    <x v="9"/>
    <x v="9"/>
    <x v="0"/>
    <x v="0"/>
    <x v="0"/>
    <x v="8"/>
    <x v="3"/>
    <x v="6"/>
    <n v="776"/>
    <n v="2.25"/>
    <n v="0.84000000000000008"/>
    <n v="2.2349999999999999"/>
    <n v="84.42"/>
    <n v="0"/>
    <n v="0"/>
    <n v="0"/>
    <n v="0"/>
    <n v="0"/>
    <x v="1"/>
    <x v="0"/>
  </r>
  <r>
    <n v="3553"/>
    <x v="10"/>
    <x v="10"/>
    <x v="0"/>
    <x v="0"/>
    <x v="0"/>
    <x v="9"/>
    <x v="10"/>
    <x v="1"/>
    <n v="776"/>
    <n v="2.8499999999999899"/>
    <n v="0.84000000000000008"/>
    <n v="2.2349999999999999"/>
    <n v="84.42"/>
    <n v="0"/>
    <n v="0"/>
    <n v="0"/>
    <n v="0"/>
    <n v="0"/>
    <x v="1"/>
    <x v="0"/>
  </r>
  <r>
    <n v="1510"/>
    <x v="11"/>
    <x v="11"/>
    <x v="0"/>
    <x v="0"/>
    <x v="1"/>
    <x v="10"/>
    <x v="11"/>
    <x v="9"/>
    <n v="527.5"/>
    <n v="2.5299999999999998"/>
    <n v="1.135"/>
    <n v="17.5"/>
    <n v="463.9"/>
    <n v="0"/>
    <n v="0"/>
    <n v="0"/>
    <n v="91.977777777777703"/>
    <n v="1.8333333333333299"/>
    <x v="2"/>
    <x v="0"/>
  </r>
  <r>
    <n v="30023"/>
    <x v="11"/>
    <x v="12"/>
    <x v="0"/>
    <x v="0"/>
    <x v="2"/>
    <x v="11"/>
    <x v="12"/>
    <x v="10"/>
    <n v="224"/>
    <n v="4.2"/>
    <n v="0.42"/>
    <n v="10502"/>
    <n v="39506.5"/>
    <n v="0"/>
    <n v="0"/>
    <n v="0"/>
    <n v="100"/>
    <n v="0"/>
    <x v="3"/>
    <x v="0"/>
  </r>
  <r>
    <n v="4027"/>
    <x v="12"/>
    <x v="13"/>
    <x v="0"/>
    <x v="0"/>
    <x v="1"/>
    <x v="12"/>
    <x v="10"/>
    <x v="11"/>
    <n v="417"/>
    <n v="3.8"/>
    <n v="0.755"/>
    <n v="33"/>
    <n v="170"/>
    <n v="0"/>
    <n v="0"/>
    <n v="0"/>
    <n v="26.6666666666666"/>
    <n v="0"/>
    <x v="4"/>
    <x v="0"/>
  </r>
  <r>
    <n v="4028"/>
    <x v="13"/>
    <x v="14"/>
    <x v="0"/>
    <x v="0"/>
    <x v="1"/>
    <x v="12"/>
    <x v="13"/>
    <x v="12"/>
    <n v="481"/>
    <n v="6.7"/>
    <n v="0.77500000000000002"/>
    <n v="32.5"/>
    <n v="205"/>
    <n v="0"/>
    <n v="0"/>
    <n v="0"/>
    <n v="34.4444444444444"/>
    <n v="0"/>
    <x v="5"/>
    <x v="0"/>
  </r>
  <r>
    <n v="4427"/>
    <x v="12"/>
    <x v="15"/>
    <x v="0"/>
    <x v="0"/>
    <x v="1"/>
    <x v="13"/>
    <x v="13"/>
    <x v="13"/>
    <n v="807"/>
    <n v="9.8000000000000007"/>
    <n v="1.365"/>
    <n v="10.5"/>
    <n v="803.4"/>
    <n v="0"/>
    <n v="0"/>
    <n v="0"/>
    <n v="100"/>
    <n v="20.466666666666601"/>
    <x v="6"/>
    <x v="0"/>
  </r>
  <r>
    <n v="2621"/>
    <x v="12"/>
    <x v="16"/>
    <x v="0"/>
    <x v="0"/>
    <x v="1"/>
    <x v="14"/>
    <x v="14"/>
    <x v="14"/>
    <n v="413.5"/>
    <n v="4.3"/>
    <n v="6.5649999999999897"/>
    <n v="801"/>
    <n v="813"/>
    <n v="0"/>
    <n v="0"/>
    <n v="0"/>
    <n v="100"/>
    <n v="0"/>
    <x v="3"/>
    <x v="0"/>
  </r>
  <r>
    <n v="3876"/>
    <x v="14"/>
    <x v="17"/>
    <x v="0"/>
    <x v="0"/>
    <x v="1"/>
    <x v="15"/>
    <x v="15"/>
    <x v="15"/>
    <n v="457"/>
    <n v="1.2"/>
    <n v="4.1900000000000004"/>
    <n v="40.5"/>
    <n v="810.5"/>
    <n v="0"/>
    <n v="0"/>
    <n v="0"/>
    <n v="100"/>
    <n v="0"/>
    <x v="3"/>
    <x v="0"/>
  </r>
  <r>
    <n v="2622"/>
    <x v="12"/>
    <x v="18"/>
    <x v="0"/>
    <x v="0"/>
    <x v="1"/>
    <x v="12"/>
    <x v="8"/>
    <x v="16"/>
    <n v="694.5"/>
    <n v="14"/>
    <n v="0.58499999999999996"/>
    <n v="23"/>
    <n v="105"/>
    <n v="0"/>
    <n v="0"/>
    <n v="0"/>
    <n v="12.2222222222222"/>
    <n v="12.966666666666599"/>
    <x v="7"/>
    <x v="0"/>
  </r>
  <r>
    <n v="2623"/>
    <x v="15"/>
    <x v="19"/>
    <x v="0"/>
    <x v="0"/>
    <x v="1"/>
    <x v="16"/>
    <x v="14"/>
    <x v="17"/>
    <n v="699.5"/>
    <n v="36"/>
    <n v="0.66"/>
    <n v="26.5"/>
    <n v="130"/>
    <n v="0"/>
    <n v="0"/>
    <n v="0"/>
    <n v="17.7777777777777"/>
    <n v="13.3"/>
    <x v="8"/>
    <x v="0"/>
  </r>
  <r>
    <n v="3877"/>
    <x v="16"/>
    <x v="20"/>
    <x v="0"/>
    <x v="0"/>
    <x v="1"/>
    <x v="10"/>
    <x v="16"/>
    <x v="18"/>
    <n v="830.5"/>
    <n v="2.5"/>
    <n v="1.595"/>
    <n v="21.5"/>
    <n v="807"/>
    <n v="0"/>
    <n v="0"/>
    <n v="0"/>
    <n v="100"/>
    <n v="22.033333333333299"/>
    <x v="9"/>
    <x v="0"/>
  </r>
  <r>
    <n v="3878"/>
    <x v="17"/>
    <x v="20"/>
    <x v="0"/>
    <x v="0"/>
    <x v="1"/>
    <x v="17"/>
    <x v="4"/>
    <x v="19"/>
    <n v="830.5"/>
    <n v="3.8"/>
    <n v="2.9449999999999998"/>
    <n v="18"/>
    <n v="808.5"/>
    <n v="0"/>
    <n v="0"/>
    <n v="0"/>
    <n v="100"/>
    <n v="22.033333333333299"/>
    <x v="9"/>
    <x v="0"/>
  </r>
  <r>
    <n v="3860"/>
    <x v="18"/>
    <x v="21"/>
    <x v="0"/>
    <x v="0"/>
    <x v="1"/>
    <x v="4"/>
    <x v="4"/>
    <x v="20"/>
    <n v="638.5"/>
    <n v="6.7"/>
    <n v="0.61499999999999999"/>
    <n v="25"/>
    <n v="108"/>
    <n v="0"/>
    <n v="0"/>
    <n v="0"/>
    <n v="12.8888888888888"/>
    <n v="9.2333333333333307"/>
    <x v="10"/>
    <x v="0"/>
  </r>
  <r>
    <n v="1614"/>
    <x v="19"/>
    <x v="22"/>
    <x v="0"/>
    <x v="0"/>
    <x v="3"/>
    <x v="3"/>
    <x v="17"/>
    <x v="21"/>
    <n v="429.5"/>
    <n v="3.2"/>
    <n v="6.66"/>
    <n v="36.5"/>
    <n v="235"/>
    <n v="0"/>
    <n v="6.6666666666666696"/>
    <n v="0"/>
    <n v="41.1111111111111"/>
    <n v="0"/>
    <x v="11"/>
    <x v="0"/>
  </r>
  <r>
    <n v="2107"/>
    <x v="20"/>
    <x v="23"/>
    <x v="0"/>
    <x v="0"/>
    <x v="3"/>
    <x v="5"/>
    <x v="18"/>
    <x v="19"/>
    <n v="383"/>
    <n v="1.45"/>
    <n v="1.29"/>
    <n v="3.8"/>
    <n v="53"/>
    <n v="0"/>
    <n v="0"/>
    <n v="0"/>
    <n v="0.66666666666666596"/>
    <n v="0"/>
    <x v="12"/>
    <x v="0"/>
  </r>
  <r>
    <n v="2108"/>
    <x v="20"/>
    <x v="24"/>
    <x v="0"/>
    <x v="0"/>
    <x v="3"/>
    <x v="5"/>
    <x v="19"/>
    <x v="22"/>
    <n v="391"/>
    <n v="1.5"/>
    <n v="1.2249999999999901"/>
    <n v="2"/>
    <n v="44.5"/>
    <n v="0"/>
    <n v="0"/>
    <n v="0"/>
    <n v="0"/>
    <n v="0"/>
    <x v="1"/>
    <x v="0"/>
  </r>
  <r>
    <n v="2124"/>
    <x v="20"/>
    <x v="25"/>
    <x v="0"/>
    <x v="0"/>
    <x v="3"/>
    <x v="18"/>
    <x v="20"/>
    <x v="23"/>
    <n v="610"/>
    <n v="10.799999999999899"/>
    <n v="9.8949999999999996"/>
    <n v="141.5"/>
    <n v="860"/>
    <n v="0"/>
    <n v="100"/>
    <n v="0"/>
    <n v="100"/>
    <n v="7.3333333333333304"/>
    <x v="13"/>
    <x v="0"/>
  </r>
  <r>
    <n v="2125"/>
    <x v="21"/>
    <x v="26"/>
    <x v="0"/>
    <x v="0"/>
    <x v="3"/>
    <x v="19"/>
    <x v="21"/>
    <x v="24"/>
    <n v="624"/>
    <n v="9.15"/>
    <n v="9.65"/>
    <n v="88"/>
    <n v="875"/>
    <n v="0"/>
    <n v="100"/>
    <n v="0"/>
    <n v="100"/>
    <n v="8.2666666666666604"/>
    <x v="14"/>
    <x v="0"/>
  </r>
  <r>
    <n v="3832"/>
    <x v="20"/>
    <x v="27"/>
    <x v="0"/>
    <x v="0"/>
    <x v="3"/>
    <x v="5"/>
    <x v="22"/>
    <x v="9"/>
    <n v="365.5"/>
    <n v="1.6"/>
    <n v="0.42499999999999999"/>
    <n v="25"/>
    <n v="53"/>
    <n v="0"/>
    <n v="0"/>
    <n v="0"/>
    <n v="0.66666666666666596"/>
    <n v="0"/>
    <x v="12"/>
    <x v="0"/>
  </r>
  <r>
    <n v="30080"/>
    <x v="20"/>
    <x v="28"/>
    <x v="0"/>
    <x v="0"/>
    <x v="3"/>
    <x v="20"/>
    <x v="12"/>
    <x v="25"/>
    <n v="392"/>
    <n v="2.4500000000000002"/>
    <n v="1.1099999999999901"/>
    <n v="12000"/>
    <n v="397250"/>
    <n v="0"/>
    <n v="0"/>
    <n v="0"/>
    <n v="100"/>
    <n v="0"/>
    <x v="3"/>
    <x v="0"/>
  </r>
  <r>
    <n v="2953"/>
    <x v="22"/>
    <x v="29"/>
    <x v="0"/>
    <x v="0"/>
    <x v="4"/>
    <x v="21"/>
    <x v="23"/>
    <x v="26"/>
    <n v="599"/>
    <n v="1.7"/>
    <n v="1.7250000000000001"/>
    <n v="58.5"/>
    <n v="147.5"/>
    <n v="22.499999999999901"/>
    <n v="0"/>
    <n v="0"/>
    <n v="21.6666666666666"/>
    <n v="6.6"/>
    <x v="15"/>
    <x v="0"/>
  </r>
  <r>
    <n v="2956"/>
    <x v="22"/>
    <x v="30"/>
    <x v="0"/>
    <x v="0"/>
    <x v="4"/>
    <x v="22"/>
    <x v="24"/>
    <x v="27"/>
    <n v="965"/>
    <n v="1.65"/>
    <n v="2.34"/>
    <n v="53.5"/>
    <n v="137"/>
    <n v="26.6666666666666"/>
    <n v="0"/>
    <n v="0"/>
    <n v="19.3333333333333"/>
    <n v="31"/>
    <x v="16"/>
    <x v="0"/>
  </r>
  <r>
    <n v="2951"/>
    <x v="23"/>
    <x v="31"/>
    <x v="0"/>
    <x v="0"/>
    <x v="4"/>
    <x v="3"/>
    <x v="25"/>
    <x v="28"/>
    <n v="672"/>
    <n v="1.6"/>
    <n v="2.1349999999999998"/>
    <n v="79.5"/>
    <n v="195"/>
    <n v="17.499999999999901"/>
    <n v="0"/>
    <n v="0"/>
    <n v="32.2222222222222"/>
    <n v="11.466666666666599"/>
    <x v="17"/>
    <x v="0"/>
  </r>
  <r>
    <n v="2952"/>
    <x v="24"/>
    <x v="32"/>
    <x v="0"/>
    <x v="0"/>
    <x v="4"/>
    <x v="3"/>
    <x v="26"/>
    <x v="29"/>
    <n v="2479"/>
    <n v="4.3499999999999996"/>
    <n v="4.57"/>
    <n v="185"/>
    <n v="485"/>
    <n v="62.5"/>
    <n v="44.999999999999901"/>
    <n v="0"/>
    <n v="96.6666666666666"/>
    <n v="100"/>
    <x v="18"/>
    <x v="1"/>
  </r>
  <r>
    <n v="2955"/>
    <x v="25"/>
    <x v="33"/>
    <x v="0"/>
    <x v="0"/>
    <x v="4"/>
    <x v="23"/>
    <x v="27"/>
    <x v="30"/>
    <n v="506"/>
    <n v="2.35"/>
    <n v="2.3149999999999999"/>
    <n v="115"/>
    <n v="245"/>
    <n v="3.3333333333333299"/>
    <n v="0"/>
    <n v="0"/>
    <n v="43.3333333333333"/>
    <n v="0.4"/>
    <x v="19"/>
    <x v="0"/>
  </r>
  <r>
    <n v="3309"/>
    <x v="26"/>
    <x v="34"/>
    <x v="0"/>
    <x v="0"/>
    <x v="3"/>
    <x v="5"/>
    <x v="22"/>
    <x v="31"/>
    <n v="1124.5"/>
    <n v="4"/>
    <n v="1.64"/>
    <n v="463"/>
    <n v="824"/>
    <n v="0"/>
    <n v="33.3333333333333"/>
    <n v="0"/>
    <n v="100"/>
    <n v="41.633333333333297"/>
    <x v="20"/>
    <x v="0"/>
  </r>
  <r>
    <n v="4349"/>
    <x v="27"/>
    <x v="35"/>
    <x v="0"/>
    <x v="1"/>
    <x v="5"/>
    <x v="7"/>
    <x v="28"/>
    <x v="32"/>
    <n v="35550"/>
    <n v="1.85"/>
    <n v="0.85"/>
    <n v="5"/>
    <n v="84"/>
    <n v="0"/>
    <n v="0"/>
    <n v="0"/>
    <n v="7.55555555555555"/>
    <n v="100"/>
    <x v="21"/>
    <x v="0"/>
  </r>
  <r>
    <n v="4352"/>
    <x v="28"/>
    <x v="36"/>
    <x v="0"/>
    <x v="1"/>
    <x v="5"/>
    <x v="2"/>
    <x v="29"/>
    <x v="33"/>
    <n v="44300"/>
    <n v="2.0999999999999899"/>
    <n v="0.6"/>
    <n v="7"/>
    <n v="124.5"/>
    <n v="1.6666666666666601"/>
    <n v="0"/>
    <n v="0"/>
    <n v="16.5555555555555"/>
    <n v="100"/>
    <x v="22"/>
    <x v="0"/>
  </r>
  <r>
    <n v="4357"/>
    <x v="29"/>
    <x v="37"/>
    <x v="0"/>
    <x v="2"/>
    <x v="5"/>
    <x v="20"/>
    <x v="29"/>
    <x v="33"/>
    <n v="43700"/>
    <n v="2.0499999999999998"/>
    <n v="0.72499999999999998"/>
    <n v="8.5"/>
    <n v="94.5"/>
    <n v="1.6666666666666601"/>
    <n v="0"/>
    <n v="0"/>
    <n v="9.8888888888888893"/>
    <n v="100"/>
    <x v="23"/>
    <x v="0"/>
  </r>
  <r>
    <n v="4361"/>
    <x v="30"/>
    <x v="38"/>
    <x v="0"/>
    <x v="2"/>
    <x v="5"/>
    <x v="2"/>
    <x v="28"/>
    <x v="34"/>
    <n v="28100"/>
    <n v="2.5"/>
    <n v="0.87"/>
    <n v="11.5"/>
    <n v="99"/>
    <n v="0"/>
    <n v="0"/>
    <n v="0"/>
    <n v="10.8888888888888"/>
    <n v="100"/>
    <x v="24"/>
    <x v="0"/>
  </r>
  <r>
    <n v="4362"/>
    <x v="31"/>
    <x v="39"/>
    <x v="0"/>
    <x v="3"/>
    <x v="5"/>
    <x v="5"/>
    <x v="30"/>
    <x v="32"/>
    <n v="25580.5"/>
    <n v="3.05"/>
    <n v="2.0699999999999998"/>
    <n v="13.5"/>
    <n v="267.5"/>
    <n v="0"/>
    <n v="1.6666666666666601"/>
    <n v="0"/>
    <n v="48.3333333333333"/>
    <n v="100"/>
    <x v="25"/>
    <x v="0"/>
  </r>
  <r>
    <n v="4363"/>
    <x v="32"/>
    <x v="40"/>
    <x v="0"/>
    <x v="3"/>
    <x v="5"/>
    <x v="19"/>
    <x v="31"/>
    <x v="35"/>
    <n v="23740.5"/>
    <n v="2.5"/>
    <n v="2.585"/>
    <n v="12"/>
    <n v="262"/>
    <n v="0"/>
    <n v="0"/>
    <n v="0"/>
    <n v="47.1111111111111"/>
    <n v="100"/>
    <x v="26"/>
    <x v="0"/>
  </r>
  <r>
    <n v="4371"/>
    <x v="33"/>
    <x v="41"/>
    <x v="0"/>
    <x v="1"/>
    <x v="5"/>
    <x v="5"/>
    <x v="1"/>
    <x v="33"/>
    <n v="29400"/>
    <n v="1.65"/>
    <n v="0.76499999999999901"/>
    <n v="8.5"/>
    <n v="84.5"/>
    <n v="0"/>
    <n v="0"/>
    <n v="0"/>
    <n v="7.6666666666666599"/>
    <n v="100"/>
    <x v="27"/>
    <x v="0"/>
  </r>
  <r>
    <n v="4378"/>
    <x v="34"/>
    <x v="42"/>
    <x v="0"/>
    <x v="2"/>
    <x v="5"/>
    <x v="5"/>
    <x v="32"/>
    <x v="36"/>
    <n v="48350"/>
    <n v="2.5999999999999899"/>
    <n v="1.325"/>
    <n v="7"/>
    <n v="163.5"/>
    <n v="0"/>
    <n v="0"/>
    <n v="0"/>
    <n v="25.2222222222222"/>
    <n v="100"/>
    <x v="28"/>
    <x v="0"/>
  </r>
  <r>
    <n v="4383"/>
    <x v="35"/>
    <x v="43"/>
    <x v="0"/>
    <x v="1"/>
    <x v="5"/>
    <x v="16"/>
    <x v="33"/>
    <x v="2"/>
    <n v="41100"/>
    <n v="2.5999999999999899"/>
    <n v="1.335"/>
    <n v="8"/>
    <n v="168"/>
    <n v="5.8333333333333197"/>
    <n v="0"/>
    <n v="0"/>
    <n v="26.2222222222222"/>
    <n v="100"/>
    <x v="29"/>
    <x v="0"/>
  </r>
  <r>
    <n v="4385"/>
    <x v="36"/>
    <x v="44"/>
    <x v="0"/>
    <x v="2"/>
    <x v="5"/>
    <x v="23"/>
    <x v="34"/>
    <x v="32"/>
    <n v="45400"/>
    <n v="2.5499999999999998"/>
    <n v="1.2649999999999999"/>
    <n v="10.5"/>
    <n v="209"/>
    <n v="2.5"/>
    <n v="0"/>
    <n v="0"/>
    <n v="35.3333333333333"/>
    <n v="100"/>
    <x v="30"/>
    <x v="0"/>
  </r>
  <r>
    <n v="4386"/>
    <x v="37"/>
    <x v="45"/>
    <x v="0"/>
    <x v="2"/>
    <x v="5"/>
    <x v="12"/>
    <x v="35"/>
    <x v="37"/>
    <n v="44900"/>
    <n v="2.75"/>
    <n v="1.19"/>
    <n v="6.5"/>
    <n v="142.5"/>
    <n v="0"/>
    <n v="0"/>
    <n v="0"/>
    <n v="20.5555555555555"/>
    <n v="100"/>
    <x v="31"/>
    <x v="0"/>
  </r>
  <r>
    <n v="4387"/>
    <x v="38"/>
    <x v="46"/>
    <x v="0"/>
    <x v="1"/>
    <x v="5"/>
    <x v="8"/>
    <x v="32"/>
    <x v="4"/>
    <n v="42050"/>
    <n v="2.65"/>
    <n v="0.97499999999999998"/>
    <n v="7"/>
    <n v="153.5"/>
    <n v="0"/>
    <n v="0"/>
    <n v="0"/>
    <n v="23"/>
    <n v="100"/>
    <x v="32"/>
    <x v="0"/>
  </r>
  <r>
    <n v="4013"/>
    <x v="39"/>
    <x v="44"/>
    <x v="0"/>
    <x v="2"/>
    <x v="6"/>
    <x v="24"/>
    <x v="36"/>
    <x v="36"/>
    <n v="41530"/>
    <n v="1.65"/>
    <n v="1.2949999999999999"/>
    <n v="181.5"/>
    <n v="281.5"/>
    <n v="0"/>
    <n v="0"/>
    <n v="0"/>
    <n v="51.4444444444444"/>
    <n v="100"/>
    <x v="33"/>
    <x v="0"/>
  </r>
  <r>
    <n v="4014"/>
    <x v="40"/>
    <x v="44"/>
    <x v="0"/>
    <x v="2"/>
    <x v="6"/>
    <x v="25"/>
    <x v="18"/>
    <x v="33"/>
    <n v="32353"/>
    <n v="1.5"/>
    <n v="0.35"/>
    <n v="214.5"/>
    <n v="325"/>
    <n v="0"/>
    <n v="0"/>
    <n v="0"/>
    <n v="61.1111111111111"/>
    <n v="100"/>
    <x v="34"/>
    <x v="0"/>
  </r>
  <r>
    <n v="4015"/>
    <x v="41"/>
    <x v="44"/>
    <x v="0"/>
    <x v="2"/>
    <x v="6"/>
    <x v="26"/>
    <x v="31"/>
    <x v="32"/>
    <n v="41635"/>
    <n v="1.45"/>
    <n v="0.37"/>
    <n v="199.5"/>
    <n v="309.5"/>
    <n v="0"/>
    <n v="0"/>
    <n v="0"/>
    <n v="57.6666666666666"/>
    <n v="100"/>
    <x v="35"/>
    <x v="0"/>
  </r>
  <r>
    <n v="4016"/>
    <x v="42"/>
    <x v="44"/>
    <x v="0"/>
    <x v="2"/>
    <x v="6"/>
    <x v="24"/>
    <x v="37"/>
    <x v="38"/>
    <n v="36165"/>
    <n v="1.55"/>
    <n v="0.32"/>
    <n v="116.5"/>
    <n v="151.5"/>
    <n v="0"/>
    <n v="0"/>
    <n v="0"/>
    <n v="22.5555555555555"/>
    <n v="100"/>
    <x v="36"/>
    <x v="0"/>
  </r>
  <r>
    <n v="3051"/>
    <x v="43"/>
    <x v="47"/>
    <x v="1"/>
    <x v="4"/>
    <x v="5"/>
    <x v="3"/>
    <x v="38"/>
    <x v="5"/>
    <n v="955"/>
    <n v="16"/>
    <n v="5.3"/>
    <n v="190"/>
    <n v="3000"/>
    <n v="60.8333333333333"/>
    <n v="100"/>
    <n v="0"/>
    <n v="100"/>
    <n v="30.3333333333333"/>
    <x v="37"/>
    <x v="1"/>
  </r>
  <r>
    <n v="4356"/>
    <x v="44"/>
    <x v="48"/>
    <x v="1"/>
    <x v="4"/>
    <x v="5"/>
    <x v="21"/>
    <x v="39"/>
    <x v="39"/>
    <n v="175"/>
    <n v="1.95"/>
    <n v="0.6"/>
    <n v="12"/>
    <n v="267.5"/>
    <n v="8.3333333333333304"/>
    <n v="0"/>
    <n v="0"/>
    <n v="48.3333333333333"/>
    <n v="0"/>
    <x v="38"/>
    <x v="0"/>
  </r>
  <r>
    <n v="4370"/>
    <x v="45"/>
    <x v="49"/>
    <x v="1"/>
    <x v="4"/>
    <x v="5"/>
    <x v="19"/>
    <x v="40"/>
    <x v="36"/>
    <n v="126"/>
    <n v="2"/>
    <n v="1.5999999999999901"/>
    <n v="14"/>
    <n v="290"/>
    <n v="0"/>
    <n v="0"/>
    <n v="0"/>
    <n v="53.3333333333333"/>
    <n v="0"/>
    <x v="39"/>
    <x v="0"/>
  </r>
  <r>
    <n v="2354"/>
    <x v="46"/>
    <x v="50"/>
    <x v="1"/>
    <x v="4"/>
    <x v="5"/>
    <x v="5"/>
    <x v="41"/>
    <x v="5"/>
    <n v="152.5"/>
    <n v="3.8"/>
    <n v="1.5999999999999901"/>
    <n v="17.5"/>
    <n v="582"/>
    <n v="13.3333333333333"/>
    <n v="26.6666666666666"/>
    <n v="0"/>
    <n v="100"/>
    <n v="0"/>
    <x v="40"/>
    <x v="0"/>
  </r>
  <r>
    <n v="4374"/>
    <x v="47"/>
    <x v="51"/>
    <x v="1"/>
    <x v="4"/>
    <x v="5"/>
    <x v="5"/>
    <x v="42"/>
    <x v="39"/>
    <n v="125"/>
    <n v="2.9"/>
    <n v="4.45"/>
    <n v="7.5"/>
    <n v="180"/>
    <n v="4.1666666666666599"/>
    <n v="0"/>
    <n v="0"/>
    <n v="28.8888888888888"/>
    <n v="0"/>
    <x v="41"/>
    <x v="0"/>
  </r>
  <r>
    <n v="2057"/>
    <x v="48"/>
    <x v="52"/>
    <x v="1"/>
    <x v="4"/>
    <x v="7"/>
    <x v="27"/>
    <x v="43"/>
    <x v="6"/>
    <m/>
    <n v="39"/>
    <m/>
    <n v="225000"/>
    <m/>
    <n v="84.999999999999901"/>
    <n v="100"/>
    <n v="0"/>
    <m/>
    <m/>
    <x v="42"/>
    <x v="1"/>
  </r>
  <r>
    <n v="1479"/>
    <x v="49"/>
    <x v="53"/>
    <x v="1"/>
    <x v="4"/>
    <x v="7"/>
    <x v="28"/>
    <x v="44"/>
    <x v="3"/>
    <m/>
    <m/>
    <n v="0.44999999999999901"/>
    <m/>
    <m/>
    <m/>
    <m/>
    <n v="0"/>
    <m/>
    <m/>
    <x v="1"/>
    <x v="0"/>
  </r>
  <r>
    <n v="2265"/>
    <x v="50"/>
    <x v="54"/>
    <x v="1"/>
    <x v="4"/>
    <x v="6"/>
    <x v="24"/>
    <x v="28"/>
    <x v="40"/>
    <n v="716.5"/>
    <n v="1.35"/>
    <n v="0.55000000000000004"/>
    <n v="1650"/>
    <n v="5300"/>
    <n v="0"/>
    <n v="0"/>
    <n v="0"/>
    <n v="100"/>
    <n v="14.4333333333333"/>
    <x v="43"/>
    <x v="0"/>
  </r>
  <r>
    <n v="2266"/>
    <x v="51"/>
    <x v="55"/>
    <x v="1"/>
    <x v="4"/>
    <x v="6"/>
    <x v="26"/>
    <x v="40"/>
    <x v="41"/>
    <n v="216"/>
    <n v="1.5"/>
    <n v="0.95"/>
    <n v="1450"/>
    <n v="4150"/>
    <n v="0"/>
    <n v="0"/>
    <n v="0"/>
    <n v="100"/>
    <n v="0"/>
    <x v="3"/>
    <x v="0"/>
  </r>
  <r>
    <n v="2268"/>
    <x v="52"/>
    <x v="56"/>
    <x v="1"/>
    <x v="4"/>
    <x v="6"/>
    <x v="22"/>
    <x v="34"/>
    <x v="42"/>
    <n v="627.5"/>
    <n v="1.5"/>
    <n v="0.44999999999999901"/>
    <n v="1420"/>
    <n v="2210"/>
    <n v="2.5"/>
    <n v="0"/>
    <n v="0"/>
    <n v="100"/>
    <n v="8.5"/>
    <x v="44"/>
    <x v="0"/>
  </r>
  <r>
    <n v="2073"/>
    <x v="53"/>
    <x v="57"/>
    <x v="1"/>
    <x v="4"/>
    <x v="8"/>
    <x v="25"/>
    <x v="2"/>
    <x v="37"/>
    <n v="108"/>
    <n v="1.1499999999999999"/>
    <n v="0.8"/>
    <n v="2"/>
    <n v="12.5"/>
    <n v="0"/>
    <n v="0"/>
    <n v="0"/>
    <n v="0"/>
    <n v="0"/>
    <x v="1"/>
    <x v="0"/>
  </r>
  <r>
    <n v="5521"/>
    <x v="54"/>
    <x v="58"/>
    <x v="1"/>
    <x v="5"/>
    <x v="9"/>
    <x v="26"/>
    <x v="45"/>
    <x v="6"/>
    <n v="269"/>
    <n v="4.6500000000000004"/>
    <n v="1.7"/>
    <n v="751"/>
    <n v="1930"/>
    <n v="0"/>
    <n v="55"/>
    <n v="0"/>
    <n v="100"/>
    <n v="0"/>
    <x v="45"/>
    <x v="0"/>
  </r>
  <r>
    <n v="5522"/>
    <x v="54"/>
    <x v="59"/>
    <x v="1"/>
    <x v="5"/>
    <x v="9"/>
    <x v="21"/>
    <x v="46"/>
    <x v="33"/>
    <n v="277"/>
    <n v="5.5"/>
    <n v="1.7999999999999901"/>
    <n v="515"/>
    <n v="801"/>
    <n v="0"/>
    <n v="83.3333333333333"/>
    <n v="0"/>
    <n v="100"/>
    <n v="0"/>
    <x v="46"/>
    <x v="0"/>
  </r>
  <r>
    <n v="3821"/>
    <x v="55"/>
    <x v="60"/>
    <x v="1"/>
    <x v="5"/>
    <x v="9"/>
    <x v="21"/>
    <x v="47"/>
    <x v="6"/>
    <n v="127"/>
    <n v="2.2000000000000002"/>
    <n v="1.4"/>
    <n v="330"/>
    <n v="1060"/>
    <n v="9.9999999999999893"/>
    <n v="0"/>
    <n v="0"/>
    <n v="100"/>
    <n v="0"/>
    <x v="47"/>
    <x v="0"/>
  </r>
  <r>
    <n v="5619"/>
    <x v="56"/>
    <x v="61"/>
    <x v="1"/>
    <x v="5"/>
    <x v="9"/>
    <x v="19"/>
    <x v="48"/>
    <x v="43"/>
    <n v="137"/>
    <n v="3.9"/>
    <n v="0.9"/>
    <n v="460"/>
    <n v="1115"/>
    <n v="11.6666666666666"/>
    <n v="29.999999999999901"/>
    <n v="0"/>
    <n v="100"/>
    <n v="0"/>
    <x v="48"/>
    <x v="0"/>
  </r>
  <r>
    <n v="1263"/>
    <x v="57"/>
    <x v="62"/>
    <x v="1"/>
    <x v="5"/>
    <x v="9"/>
    <x v="19"/>
    <x v="49"/>
    <x v="42"/>
    <n v="258"/>
    <n v="2.5499999999999998"/>
    <n v="1.6"/>
    <n v="515"/>
    <n v="1360"/>
    <n v="18.3333333333333"/>
    <n v="0"/>
    <n v="0"/>
    <n v="100"/>
    <n v="0"/>
    <x v="49"/>
    <x v="0"/>
  </r>
  <r>
    <n v="5623"/>
    <x v="58"/>
    <x v="63"/>
    <x v="1"/>
    <x v="5"/>
    <x v="9"/>
    <x v="0"/>
    <x v="50"/>
    <x v="44"/>
    <n v="160.5"/>
    <n v="2.4"/>
    <n v="0.9"/>
    <n v="330"/>
    <n v="1060"/>
    <n v="9.1666666666666696"/>
    <n v="0"/>
    <n v="0"/>
    <n v="100"/>
    <n v="0"/>
    <x v="50"/>
    <x v="0"/>
  </r>
  <r>
    <n v="3787"/>
    <x v="59"/>
    <x v="64"/>
    <x v="1"/>
    <x v="5"/>
    <x v="9"/>
    <x v="16"/>
    <x v="32"/>
    <x v="43"/>
    <n v="122"/>
    <n v="2.2999999999999998"/>
    <n v="1.3"/>
    <n v="460"/>
    <n v="950"/>
    <n v="0"/>
    <n v="0"/>
    <n v="0"/>
    <n v="100"/>
    <n v="0"/>
    <x v="3"/>
    <x v="0"/>
  </r>
  <r>
    <n v="5617"/>
    <x v="60"/>
    <x v="65"/>
    <x v="1"/>
    <x v="5"/>
    <x v="9"/>
    <x v="21"/>
    <x v="51"/>
    <x v="42"/>
    <n v="99"/>
    <n v="2.2999999999999998"/>
    <n v="0.75"/>
    <n v="330"/>
    <n v="1060"/>
    <n v="0"/>
    <n v="0"/>
    <n v="0"/>
    <n v="100"/>
    <n v="0"/>
    <x v="3"/>
    <x v="0"/>
  </r>
  <r>
    <n v="4337"/>
    <x v="61"/>
    <x v="66"/>
    <x v="1"/>
    <x v="5"/>
    <x v="9"/>
    <x v="7"/>
    <x v="52"/>
    <x v="45"/>
    <n v="92"/>
    <n v="2.2000000000000002"/>
    <n v="1"/>
    <n v="540"/>
    <n v="755"/>
    <n v="0"/>
    <n v="0"/>
    <n v="0"/>
    <n v="100"/>
    <n v="0"/>
    <x v="3"/>
    <x v="0"/>
  </r>
  <r>
    <n v="3812"/>
    <x v="62"/>
    <x v="67"/>
    <x v="1"/>
    <x v="5"/>
    <x v="9"/>
    <x v="26"/>
    <x v="53"/>
    <x v="7"/>
    <n v="1034.5"/>
    <n v="23.6"/>
    <n v="2.8"/>
    <n v="1230"/>
    <n v="2550"/>
    <n v="45.8333333333333"/>
    <n v="100"/>
    <n v="0"/>
    <n v="100"/>
    <n v="35.633333333333297"/>
    <x v="51"/>
    <x v="1"/>
  </r>
  <r>
    <n v="5621"/>
    <x v="63"/>
    <x v="68"/>
    <x v="1"/>
    <x v="5"/>
    <x v="9"/>
    <x v="26"/>
    <x v="48"/>
    <x v="42"/>
    <n v="142"/>
    <n v="2.35"/>
    <n v="0.85"/>
    <n v="670"/>
    <n v="1360"/>
    <n v="11.6666666666666"/>
    <n v="0"/>
    <n v="0"/>
    <n v="100"/>
    <n v="0"/>
    <x v="52"/>
    <x v="0"/>
  </r>
  <r>
    <n v="3783"/>
    <x v="64"/>
    <x v="69"/>
    <x v="1"/>
    <x v="5"/>
    <x v="9"/>
    <x v="19"/>
    <x v="54"/>
    <x v="46"/>
    <n v="139"/>
    <n v="2.2999999999999998"/>
    <n v="1.1499999999999999"/>
    <n v="490"/>
    <n v="1115"/>
    <n v="0"/>
    <n v="0"/>
    <n v="0"/>
    <n v="100"/>
    <n v="0"/>
    <x v="3"/>
    <x v="0"/>
  </r>
  <r>
    <n v="5622"/>
    <x v="65"/>
    <x v="70"/>
    <x v="1"/>
    <x v="5"/>
    <x v="9"/>
    <x v="23"/>
    <x v="55"/>
    <x v="5"/>
    <n v="141"/>
    <n v="2.25"/>
    <n v="0.89999999999999902"/>
    <n v="330"/>
    <n v="1005"/>
    <n v="0"/>
    <n v="0"/>
    <n v="0"/>
    <n v="100"/>
    <n v="0"/>
    <x v="3"/>
    <x v="0"/>
  </r>
  <r>
    <n v="3800"/>
    <x v="66"/>
    <x v="71"/>
    <x v="1"/>
    <x v="5"/>
    <x v="9"/>
    <x v="16"/>
    <x v="56"/>
    <x v="46"/>
    <n v="152"/>
    <n v="2.4"/>
    <n v="1.25"/>
    <n v="450"/>
    <n v="1155"/>
    <n v="20.8333333333333"/>
    <n v="0"/>
    <n v="0"/>
    <n v="100"/>
    <n v="0"/>
    <x v="53"/>
    <x v="0"/>
  </r>
  <r>
    <n v="2205"/>
    <x v="67"/>
    <x v="62"/>
    <x v="1"/>
    <x v="5"/>
    <x v="9"/>
    <x v="4"/>
    <x v="35"/>
    <x v="45"/>
    <n v="137"/>
    <n v="2.2000000000000002"/>
    <n v="1.2"/>
    <n v="675"/>
    <n v="1110"/>
    <n v="0"/>
    <n v="0"/>
    <n v="0"/>
    <n v="100"/>
    <n v="0"/>
    <x v="3"/>
    <x v="0"/>
  </r>
  <r>
    <n v="5620"/>
    <x v="68"/>
    <x v="72"/>
    <x v="1"/>
    <x v="5"/>
    <x v="9"/>
    <x v="25"/>
    <x v="57"/>
    <x v="43"/>
    <n v="102"/>
    <n v="2.2000000000000002"/>
    <n v="0.95"/>
    <n v="605"/>
    <n v="1600"/>
    <n v="6.6666666666666696"/>
    <n v="0"/>
    <n v="0"/>
    <n v="100"/>
    <n v="0"/>
    <x v="54"/>
    <x v="0"/>
  </r>
  <r>
    <n v="3808"/>
    <x v="69"/>
    <x v="73"/>
    <x v="1"/>
    <x v="5"/>
    <x v="9"/>
    <x v="21"/>
    <x v="58"/>
    <x v="42"/>
    <n v="120"/>
    <n v="2.35"/>
    <n v="1.65"/>
    <n v="455"/>
    <n v="1000"/>
    <n v="0"/>
    <n v="0"/>
    <n v="0"/>
    <n v="100"/>
    <n v="0"/>
    <x v="3"/>
    <x v="0"/>
  </r>
  <r>
    <n v="3798"/>
    <x v="70"/>
    <x v="74"/>
    <x v="1"/>
    <x v="5"/>
    <x v="9"/>
    <x v="19"/>
    <x v="47"/>
    <x v="45"/>
    <n v="105"/>
    <n v="2.25"/>
    <n v="1.1499999999999999"/>
    <n v="460"/>
    <n v="1155"/>
    <n v="9.9999999999999893"/>
    <n v="0"/>
    <n v="0"/>
    <n v="100"/>
    <n v="0"/>
    <x v="47"/>
    <x v="0"/>
  </r>
  <r>
    <n v="2215"/>
    <x v="71"/>
    <x v="62"/>
    <x v="1"/>
    <x v="5"/>
    <x v="9"/>
    <x v="20"/>
    <x v="59"/>
    <x v="7"/>
    <n v="106"/>
    <n v="2.15"/>
    <n v="1"/>
    <n v="330"/>
    <n v="860"/>
    <n v="0"/>
    <n v="0"/>
    <n v="0"/>
    <n v="100"/>
    <n v="0"/>
    <x v="3"/>
    <x v="0"/>
  </r>
  <r>
    <n v="3814"/>
    <x v="72"/>
    <x v="75"/>
    <x v="1"/>
    <x v="5"/>
    <x v="9"/>
    <x v="23"/>
    <x v="60"/>
    <x v="42"/>
    <n v="408"/>
    <n v="14.899999999999901"/>
    <n v="1.35"/>
    <n v="2150"/>
    <n v="3150"/>
    <n v="59.1666666666666"/>
    <n v="100"/>
    <n v="0"/>
    <n v="100"/>
    <n v="0"/>
    <x v="55"/>
    <x v="1"/>
  </r>
  <r>
    <n v="3804"/>
    <x v="73"/>
    <x v="76"/>
    <x v="1"/>
    <x v="5"/>
    <x v="9"/>
    <x v="29"/>
    <x v="61"/>
    <x v="45"/>
    <n v="124"/>
    <n v="2.4"/>
    <n v="0.95"/>
    <n v="460"/>
    <n v="1055"/>
    <n v="4.9999999999999902"/>
    <n v="0"/>
    <n v="0"/>
    <n v="100"/>
    <n v="0"/>
    <x v="56"/>
    <x v="0"/>
  </r>
  <r>
    <n v="3819"/>
    <x v="74"/>
    <x v="77"/>
    <x v="1"/>
    <x v="5"/>
    <x v="9"/>
    <x v="3"/>
    <x v="62"/>
    <x v="42"/>
    <n v="405"/>
    <n v="20.2"/>
    <n v="3.15"/>
    <n v="3200"/>
    <n v="4750"/>
    <n v="88.3333333333333"/>
    <n v="100"/>
    <n v="0"/>
    <n v="100"/>
    <n v="0"/>
    <x v="57"/>
    <x v="2"/>
  </r>
  <r>
    <n v="2225"/>
    <x v="75"/>
    <x v="78"/>
    <x v="1"/>
    <x v="6"/>
    <x v="9"/>
    <x v="30"/>
    <x v="63"/>
    <x v="45"/>
    <n v="108"/>
    <n v="2.4500000000000002"/>
    <n v="0.9"/>
    <n v="620"/>
    <n v="1105"/>
    <n v="19.1666666666666"/>
    <n v="0"/>
    <n v="0"/>
    <n v="100"/>
    <n v="0"/>
    <x v="58"/>
    <x v="0"/>
  </r>
  <r>
    <n v="2214"/>
    <x v="76"/>
    <x v="79"/>
    <x v="1"/>
    <x v="6"/>
    <x v="9"/>
    <x v="19"/>
    <x v="40"/>
    <x v="42"/>
    <n v="96.5"/>
    <n v="2.25"/>
    <n v="1.35"/>
    <n v="330"/>
    <n v="965"/>
    <n v="0"/>
    <n v="0"/>
    <n v="0"/>
    <n v="100"/>
    <n v="0"/>
    <x v="3"/>
    <x v="0"/>
  </r>
  <r>
    <n v="2219"/>
    <x v="77"/>
    <x v="80"/>
    <x v="1"/>
    <x v="6"/>
    <x v="9"/>
    <x v="22"/>
    <x v="64"/>
    <x v="6"/>
    <n v="218"/>
    <n v="2.2999999999999998"/>
    <n v="1.1499999999999999"/>
    <n v="515"/>
    <n v="1360"/>
    <n v="0"/>
    <n v="0"/>
    <n v="0"/>
    <n v="100"/>
    <n v="0"/>
    <x v="3"/>
    <x v="0"/>
  </r>
  <r>
    <n v="2208"/>
    <x v="78"/>
    <x v="81"/>
    <x v="1"/>
    <x v="6"/>
    <x v="9"/>
    <x v="20"/>
    <x v="1"/>
    <x v="47"/>
    <n v="103"/>
    <n v="2.3499999999999899"/>
    <n v="0.95"/>
    <n v="330"/>
    <n v="805"/>
    <n v="0"/>
    <n v="0"/>
    <n v="0"/>
    <n v="100"/>
    <n v="0"/>
    <x v="3"/>
    <x v="0"/>
  </r>
  <r>
    <n v="3772"/>
    <x v="79"/>
    <x v="46"/>
    <x v="1"/>
    <x v="6"/>
    <x v="9"/>
    <x v="26"/>
    <x v="18"/>
    <x v="6"/>
    <n v="113"/>
    <n v="2.4500000000000002"/>
    <n v="0.8"/>
    <n v="330"/>
    <n v="900"/>
    <n v="0"/>
    <n v="0"/>
    <n v="0"/>
    <n v="100"/>
    <n v="0"/>
    <x v="3"/>
    <x v="0"/>
  </r>
  <r>
    <n v="2216"/>
    <x v="80"/>
    <x v="82"/>
    <x v="1"/>
    <x v="6"/>
    <x v="9"/>
    <x v="22"/>
    <x v="8"/>
    <x v="48"/>
    <n v="180"/>
    <n v="2.5499999999999998"/>
    <n v="1.1000000000000001"/>
    <n v="545"/>
    <n v="1500"/>
    <n v="0"/>
    <n v="0"/>
    <n v="0"/>
    <n v="100"/>
    <n v="0"/>
    <x v="3"/>
    <x v="0"/>
  </r>
  <r>
    <n v="2221"/>
    <x v="81"/>
    <x v="83"/>
    <x v="1"/>
    <x v="6"/>
    <x v="9"/>
    <x v="26"/>
    <x v="14"/>
    <x v="49"/>
    <n v="116"/>
    <n v="2.2999999999999998"/>
    <n v="1.1000000000000001"/>
    <n v="330"/>
    <n v="1000"/>
    <n v="0"/>
    <n v="0"/>
    <n v="0"/>
    <n v="100"/>
    <n v="0"/>
    <x v="3"/>
    <x v="0"/>
  </r>
  <r>
    <n v="2209"/>
    <x v="82"/>
    <x v="84"/>
    <x v="1"/>
    <x v="6"/>
    <x v="9"/>
    <x v="26"/>
    <x v="52"/>
    <x v="43"/>
    <n v="112.5"/>
    <n v="2.15"/>
    <n v="1.1000000000000001"/>
    <n v="635"/>
    <n v="1115"/>
    <n v="0"/>
    <n v="0"/>
    <n v="0"/>
    <n v="100"/>
    <n v="0"/>
    <x v="3"/>
    <x v="0"/>
  </r>
  <r>
    <n v="2212"/>
    <x v="83"/>
    <x v="85"/>
    <x v="1"/>
    <x v="6"/>
    <x v="9"/>
    <x v="7"/>
    <x v="22"/>
    <x v="50"/>
    <n v="165"/>
    <n v="2.35"/>
    <n v="1.1499999999999999"/>
    <n v="460"/>
    <n v="1055"/>
    <n v="0"/>
    <n v="0"/>
    <n v="0"/>
    <n v="100"/>
    <n v="0"/>
    <x v="3"/>
    <x v="0"/>
  </r>
  <r>
    <n v="2227"/>
    <x v="84"/>
    <x v="86"/>
    <x v="1"/>
    <x v="6"/>
    <x v="9"/>
    <x v="22"/>
    <x v="65"/>
    <x v="43"/>
    <n v="100"/>
    <n v="2.4"/>
    <n v="0.85"/>
    <n v="515"/>
    <n v="1050"/>
    <n v="0"/>
    <n v="0"/>
    <n v="0"/>
    <n v="100"/>
    <n v="0"/>
    <x v="3"/>
    <x v="0"/>
  </r>
  <r>
    <n v="2213"/>
    <x v="85"/>
    <x v="87"/>
    <x v="1"/>
    <x v="6"/>
    <x v="9"/>
    <x v="20"/>
    <x v="66"/>
    <x v="47"/>
    <n v="157"/>
    <n v="2.25"/>
    <n v="1.3"/>
    <n v="610"/>
    <n v="1165"/>
    <n v="0"/>
    <n v="0"/>
    <n v="0"/>
    <n v="100"/>
    <n v="0"/>
    <x v="3"/>
    <x v="0"/>
  </r>
  <r>
    <n v="1532"/>
    <x v="86"/>
    <x v="88"/>
    <x v="1"/>
    <x v="6"/>
    <x v="9"/>
    <x v="5"/>
    <x v="67"/>
    <x v="42"/>
    <n v="112"/>
    <n v="2.2000000000000002"/>
    <n v="0.8"/>
    <n v="330"/>
    <n v="755"/>
    <n v="0"/>
    <n v="0"/>
    <n v="0"/>
    <n v="100"/>
    <n v="0"/>
    <x v="3"/>
    <x v="0"/>
  </r>
  <r>
    <n v="3809"/>
    <x v="87"/>
    <x v="46"/>
    <x v="1"/>
    <x v="6"/>
    <x v="9"/>
    <x v="7"/>
    <x v="67"/>
    <x v="5"/>
    <n v="343"/>
    <n v="2.4500000000000002"/>
    <n v="2.85"/>
    <n v="620"/>
    <n v="1700"/>
    <n v="0"/>
    <n v="0"/>
    <n v="0"/>
    <n v="100"/>
    <n v="0"/>
    <x v="3"/>
    <x v="0"/>
  </r>
  <r>
    <n v="2223"/>
    <x v="88"/>
    <x v="62"/>
    <x v="1"/>
    <x v="6"/>
    <x v="9"/>
    <x v="26"/>
    <x v="41"/>
    <x v="42"/>
    <n v="110"/>
    <n v="2.15"/>
    <n v="1.2"/>
    <n v="460"/>
    <n v="1160"/>
    <n v="13.3333333333333"/>
    <n v="0"/>
    <n v="0"/>
    <n v="100"/>
    <n v="0"/>
    <x v="59"/>
    <x v="0"/>
  </r>
  <r>
    <n v="4006"/>
    <x v="89"/>
    <x v="46"/>
    <x v="1"/>
    <x v="6"/>
    <x v="9"/>
    <x v="26"/>
    <x v="31"/>
    <x v="45"/>
    <n v="105"/>
    <n v="2.35"/>
    <n v="0.85"/>
    <n v="330"/>
    <n v="725"/>
    <n v="0"/>
    <n v="0"/>
    <n v="0"/>
    <n v="100"/>
    <n v="0"/>
    <x v="3"/>
    <x v="0"/>
  </r>
  <r>
    <n v="2211"/>
    <x v="90"/>
    <x v="89"/>
    <x v="1"/>
    <x v="6"/>
    <x v="9"/>
    <x v="20"/>
    <x v="5"/>
    <x v="42"/>
    <n v="213"/>
    <n v="2.4500000000000002"/>
    <n v="1.1000000000000001"/>
    <n v="515"/>
    <n v="1050"/>
    <n v="0"/>
    <n v="0"/>
    <n v="0"/>
    <n v="100"/>
    <n v="0"/>
    <x v="3"/>
    <x v="0"/>
  </r>
  <r>
    <n v="2222"/>
    <x v="91"/>
    <x v="62"/>
    <x v="1"/>
    <x v="6"/>
    <x v="9"/>
    <x v="31"/>
    <x v="68"/>
    <x v="51"/>
    <n v="144"/>
    <n v="2.25"/>
    <n v="1.35"/>
    <n v="460"/>
    <n v="1105"/>
    <n v="12.5"/>
    <n v="0"/>
    <n v="0"/>
    <n v="100"/>
    <n v="0"/>
    <x v="60"/>
    <x v="0"/>
  </r>
  <r>
    <n v="2224"/>
    <x v="92"/>
    <x v="62"/>
    <x v="1"/>
    <x v="6"/>
    <x v="9"/>
    <x v="26"/>
    <x v="68"/>
    <x v="47"/>
    <n v="130"/>
    <n v="2.2999999999999998"/>
    <n v="1.25"/>
    <n v="460"/>
    <n v="1065"/>
    <n v="12.5"/>
    <n v="0"/>
    <n v="0"/>
    <n v="100"/>
    <n v="0"/>
    <x v="60"/>
    <x v="0"/>
  </r>
  <r>
    <n v="2210"/>
    <x v="93"/>
    <x v="90"/>
    <x v="1"/>
    <x v="6"/>
    <x v="9"/>
    <x v="32"/>
    <x v="31"/>
    <x v="7"/>
    <n v="110"/>
    <n v="2.35"/>
    <n v="1"/>
    <n v="515"/>
    <n v="910"/>
    <n v="0"/>
    <n v="0"/>
    <n v="0"/>
    <n v="100"/>
    <n v="0"/>
    <x v="3"/>
    <x v="0"/>
  </r>
  <r>
    <n v="3806"/>
    <x v="94"/>
    <x v="46"/>
    <x v="1"/>
    <x v="6"/>
    <x v="9"/>
    <x v="16"/>
    <x v="33"/>
    <x v="52"/>
    <n v="138"/>
    <n v="2.5999999999999899"/>
    <n v="0.9"/>
    <n v="460"/>
    <n v="1155"/>
    <n v="5.8333333333333197"/>
    <n v="0"/>
    <n v="0"/>
    <n v="100"/>
    <n v="0"/>
    <x v="61"/>
    <x v="0"/>
  </r>
  <r>
    <n v="2226"/>
    <x v="95"/>
    <x v="62"/>
    <x v="1"/>
    <x v="6"/>
    <x v="9"/>
    <x v="21"/>
    <x v="1"/>
    <x v="50"/>
    <n v="95"/>
    <n v="2.4"/>
    <n v="0.95"/>
    <n v="330"/>
    <n v="915"/>
    <n v="0"/>
    <n v="0"/>
    <n v="0"/>
    <n v="100"/>
    <n v="0"/>
    <x v="3"/>
    <x v="0"/>
  </r>
  <r>
    <n v="2217"/>
    <x v="96"/>
    <x v="82"/>
    <x v="1"/>
    <x v="6"/>
    <x v="9"/>
    <x v="5"/>
    <x v="18"/>
    <x v="50"/>
    <n v="259"/>
    <n v="2.5"/>
    <n v="1.2"/>
    <n v="605"/>
    <n v="1550"/>
    <n v="0"/>
    <n v="0"/>
    <n v="0"/>
    <n v="100"/>
    <n v="0"/>
    <x v="3"/>
    <x v="0"/>
  </r>
  <r>
    <n v="3775"/>
    <x v="97"/>
    <x v="46"/>
    <x v="1"/>
    <x v="6"/>
    <x v="9"/>
    <x v="22"/>
    <x v="30"/>
    <x v="47"/>
    <n v="104"/>
    <n v="2.2000000000000002"/>
    <n v="0.85"/>
    <n v="515"/>
    <n v="1115"/>
    <n v="0"/>
    <n v="0"/>
    <n v="0"/>
    <n v="100"/>
    <n v="0"/>
    <x v="3"/>
    <x v="0"/>
  </r>
  <r>
    <n v="4334"/>
    <x v="98"/>
    <x v="91"/>
    <x v="1"/>
    <x v="6"/>
    <x v="9"/>
    <x v="24"/>
    <x v="37"/>
    <x v="44"/>
    <n v="94"/>
    <n v="2.2999999999999998"/>
    <n v="0.95"/>
    <n v="330"/>
    <n v="765"/>
    <n v="0"/>
    <n v="0"/>
    <n v="0"/>
    <n v="100"/>
    <n v="0"/>
    <x v="3"/>
    <x v="2"/>
  </r>
  <r>
    <n v="4349"/>
    <x v="99"/>
    <x v="92"/>
    <x v="2"/>
    <x v="1"/>
    <x v="5"/>
    <x v="21"/>
    <x v="51"/>
    <x v="2"/>
    <n v="39700"/>
    <n v="2"/>
    <n v="1.05"/>
    <n v="5.5"/>
    <n v="79.5"/>
    <n v="0"/>
    <n v="0"/>
    <n v="0"/>
    <n v="6.55555555555555"/>
    <n v="100"/>
    <x v="62"/>
    <x v="2"/>
  </r>
  <r>
    <n v="4352"/>
    <x v="100"/>
    <x v="36"/>
    <x v="2"/>
    <x v="1"/>
    <x v="5"/>
    <x v="26"/>
    <x v="65"/>
    <x v="36"/>
    <n v="44100"/>
    <n v="2.0499999999999998"/>
    <n v="1.05"/>
    <n v="5.5"/>
    <n v="79.5"/>
    <n v="0"/>
    <n v="0"/>
    <n v="0"/>
    <n v="6.55555555555555"/>
    <n v="100"/>
    <x v="62"/>
    <x v="2"/>
  </r>
  <r>
    <n v="4357"/>
    <x v="29"/>
    <x v="44"/>
    <x v="2"/>
    <x v="2"/>
    <x v="5"/>
    <x v="21"/>
    <x v="31"/>
    <x v="39"/>
    <n v="45150"/>
    <n v="1.85"/>
    <n v="0.8"/>
    <n v="6.5"/>
    <n v="92"/>
    <n v="0"/>
    <n v="0"/>
    <n v="0"/>
    <n v="9.3333333333333304"/>
    <n v="100"/>
    <x v="63"/>
    <x v="2"/>
  </r>
  <r>
    <n v="4361"/>
    <x v="30"/>
    <x v="38"/>
    <x v="2"/>
    <x v="2"/>
    <x v="5"/>
    <x v="2"/>
    <x v="69"/>
    <x v="49"/>
    <n v="41850"/>
    <n v="2.8"/>
    <n v="1.65"/>
    <n v="5"/>
    <n v="71"/>
    <n v="15"/>
    <n v="0"/>
    <n v="0"/>
    <n v="4.6666666666666599"/>
    <n v="100"/>
    <x v="64"/>
    <x v="2"/>
  </r>
  <r>
    <n v="4362"/>
    <x v="31"/>
    <x v="39"/>
    <x v="2"/>
    <x v="3"/>
    <x v="5"/>
    <x v="5"/>
    <x v="39"/>
    <x v="8"/>
    <n v="25960"/>
    <n v="2.4500000000000002"/>
    <n v="2"/>
    <n v="9.5"/>
    <n v="92"/>
    <n v="8.3333333333333304"/>
    <n v="0"/>
    <n v="0"/>
    <n v="9.3333333333333304"/>
    <n v="100"/>
    <x v="65"/>
    <x v="2"/>
  </r>
  <r>
    <n v="4363"/>
    <x v="32"/>
    <x v="38"/>
    <x v="2"/>
    <x v="3"/>
    <x v="5"/>
    <x v="2"/>
    <x v="70"/>
    <x v="8"/>
    <n v="23960"/>
    <n v="4"/>
    <n v="1.9"/>
    <n v="6.5"/>
    <n v="97.5"/>
    <n v="28.3333333333333"/>
    <n v="33.3333333333333"/>
    <n v="0"/>
    <n v="10.5555555555555"/>
    <n v="100"/>
    <x v="66"/>
    <x v="2"/>
  </r>
  <r>
    <n v="4371"/>
    <x v="101"/>
    <x v="41"/>
    <x v="2"/>
    <x v="1"/>
    <x v="5"/>
    <x v="20"/>
    <x v="32"/>
    <x v="4"/>
    <n v="28265"/>
    <n v="2.5"/>
    <n v="1.3"/>
    <n v="5.5"/>
    <n v="92"/>
    <n v="0"/>
    <n v="0"/>
    <n v="0"/>
    <n v="9.3333333333333304"/>
    <n v="100"/>
    <x v="63"/>
    <x v="2"/>
  </r>
  <r>
    <n v="4378"/>
    <x v="34"/>
    <x v="93"/>
    <x v="2"/>
    <x v="2"/>
    <x v="5"/>
    <x v="21"/>
    <x v="71"/>
    <x v="7"/>
    <n v="46350"/>
    <n v="2.4"/>
    <n v="1.05"/>
    <n v="3"/>
    <n v="81.5"/>
    <n v="27.5"/>
    <n v="0"/>
    <n v="0"/>
    <n v="7"/>
    <n v="100"/>
    <x v="67"/>
    <x v="2"/>
  </r>
  <r>
    <n v="4383"/>
    <x v="35"/>
    <x v="46"/>
    <x v="2"/>
    <x v="1"/>
    <x v="5"/>
    <x v="16"/>
    <x v="72"/>
    <x v="1"/>
    <n v="44300"/>
    <n v="2.4"/>
    <n v="1.5999999999999901"/>
    <n v="3"/>
    <n v="81.5"/>
    <n v="25.8333333333333"/>
    <n v="0"/>
    <n v="0"/>
    <n v="7"/>
    <n v="100"/>
    <x v="68"/>
    <x v="2"/>
  </r>
  <r>
    <n v="4385"/>
    <x v="36"/>
    <x v="44"/>
    <x v="2"/>
    <x v="2"/>
    <x v="5"/>
    <x v="12"/>
    <x v="56"/>
    <x v="1"/>
    <n v="45550"/>
    <n v="2.5"/>
    <n v="1.1000000000000001"/>
    <n v="3"/>
    <n v="58"/>
    <n v="20.8333333333333"/>
    <n v="0"/>
    <n v="0"/>
    <n v="1.7777777777777699"/>
    <n v="100"/>
    <x v="69"/>
    <x v="2"/>
  </r>
  <r>
    <n v="4386"/>
    <x v="102"/>
    <x v="45"/>
    <x v="2"/>
    <x v="2"/>
    <x v="5"/>
    <x v="12"/>
    <x v="73"/>
    <x v="7"/>
    <n v="46000"/>
    <n v="2.5999999999999899"/>
    <n v="1.2"/>
    <n v="3"/>
    <n v="71.5"/>
    <n v="23.3333333333333"/>
    <n v="0"/>
    <n v="0"/>
    <n v="4.7777777777777697"/>
    <n v="100"/>
    <x v="70"/>
    <x v="2"/>
  </r>
  <r>
    <n v="4387"/>
    <x v="38"/>
    <x v="94"/>
    <x v="2"/>
    <x v="1"/>
    <x v="5"/>
    <x v="0"/>
    <x v="23"/>
    <x v="1"/>
    <n v="45300"/>
    <n v="2.5999999999999899"/>
    <n v="1.1499999999999999"/>
    <n v="3"/>
    <n v="71.5"/>
    <n v="22.499999999999901"/>
    <n v="0"/>
    <n v="0"/>
    <n v="4.7777777777777697"/>
    <n v="100"/>
    <x v="71"/>
    <x v="2"/>
  </r>
  <r>
    <n v="2267"/>
    <x v="103"/>
    <x v="95"/>
    <x v="2"/>
    <x v="7"/>
    <x v="6"/>
    <x v="26"/>
    <x v="58"/>
    <x v="47"/>
    <n v="25920.5"/>
    <n v="2.4"/>
    <n v="2.0499999999999998"/>
    <n v="1265"/>
    <n v="3000"/>
    <n v="0"/>
    <n v="0"/>
    <n v="0"/>
    <n v="100"/>
    <n v="100"/>
    <x v="72"/>
    <x v="2"/>
  </r>
  <r>
    <n v="4013"/>
    <x v="39"/>
    <x v="44"/>
    <x v="2"/>
    <x v="2"/>
    <x v="6"/>
    <x v="24"/>
    <x v="22"/>
    <x v="53"/>
    <n v="43950"/>
    <n v="1.9"/>
    <n v="0.4"/>
    <n v="126.5"/>
    <n v="484.5"/>
    <n v="0"/>
    <n v="0"/>
    <n v="0"/>
    <n v="96.5555555555555"/>
    <n v="100"/>
    <x v="73"/>
    <x v="2"/>
  </r>
  <r>
    <n v="4014"/>
    <x v="40"/>
    <x v="44"/>
    <x v="2"/>
    <x v="2"/>
    <x v="6"/>
    <x v="22"/>
    <x v="18"/>
    <x v="8"/>
    <n v="38290"/>
    <n v="2"/>
    <n v="0.55000000000000004"/>
    <n v="131.5"/>
    <n v="191.5"/>
    <n v="0"/>
    <n v="0"/>
    <n v="0"/>
    <n v="31.4444444444444"/>
    <n v="100"/>
    <x v="74"/>
    <x v="2"/>
  </r>
  <r>
    <n v="4015"/>
    <x v="41"/>
    <x v="44"/>
    <x v="2"/>
    <x v="2"/>
    <x v="6"/>
    <x v="26"/>
    <x v="1"/>
    <x v="51"/>
    <n v="46275"/>
    <n v="1.5"/>
    <n v="0.3"/>
    <n v="121"/>
    <n v="205"/>
    <n v="0"/>
    <n v="0"/>
    <n v="0"/>
    <n v="34.4444444444444"/>
    <n v="100"/>
    <x v="75"/>
    <x v="2"/>
  </r>
  <r>
    <n v="4016"/>
    <x v="42"/>
    <x v="44"/>
    <x v="2"/>
    <x v="2"/>
    <x v="6"/>
    <x v="32"/>
    <x v="74"/>
    <x v="38"/>
    <n v="42315"/>
    <n v="1.9"/>
    <n v="1.3499999999999901"/>
    <n v="181.5"/>
    <n v="471.5"/>
    <n v="0"/>
    <n v="0"/>
    <n v="0"/>
    <n v="93.6666666666666"/>
    <n v="100"/>
    <x v="76"/>
    <x v="2"/>
  </r>
  <r>
    <n v="4017"/>
    <x v="104"/>
    <x v="44"/>
    <x v="2"/>
    <x v="2"/>
    <x v="6"/>
    <x v="32"/>
    <x v="75"/>
    <x v="42"/>
    <n v="41940"/>
    <n v="1.9"/>
    <n v="0.55000000000000004"/>
    <n v="131"/>
    <n v="286.5"/>
    <n v="0"/>
    <n v="0"/>
    <n v="0"/>
    <n v="52.5555555555555"/>
    <n v="100"/>
    <x v="77"/>
    <x v="2"/>
  </r>
  <r>
    <n v="2354"/>
    <x v="46"/>
    <x v="96"/>
    <x v="2"/>
    <x v="4"/>
    <x v="5"/>
    <x v="7"/>
    <x v="24"/>
    <x v="54"/>
    <n v="369"/>
    <n v="2.9"/>
    <n v="1.5"/>
    <n v="16"/>
    <n v="165"/>
    <n v="26.6666666666666"/>
    <n v="0"/>
    <n v="0"/>
    <n v="25.5555555555555"/>
    <n v="0"/>
    <x v="78"/>
    <x v="2"/>
  </r>
  <r>
    <n v="2355"/>
    <x v="105"/>
    <x v="96"/>
    <x v="2"/>
    <x v="4"/>
    <x v="5"/>
    <x v="20"/>
    <x v="76"/>
    <x v="6"/>
    <n v="12962.5"/>
    <n v="4.5"/>
    <n v="2.35"/>
    <n v="24.5"/>
    <n v="335"/>
    <n v="30.8333333333333"/>
    <n v="50"/>
    <n v="0"/>
    <n v="63.3333333333333"/>
    <n v="100"/>
    <x v="79"/>
    <x v="2"/>
  </r>
  <r>
    <n v="3051"/>
    <x v="43"/>
    <x v="97"/>
    <x v="2"/>
    <x v="4"/>
    <x v="5"/>
    <x v="19"/>
    <x v="77"/>
    <x v="1"/>
    <n v="1400"/>
    <n v="4.5999999999999996"/>
    <n v="2.25"/>
    <n v="3"/>
    <n v="465"/>
    <n v="0"/>
    <n v="53.3333333333333"/>
    <n v="0"/>
    <n v="92.2222222222222"/>
    <n v="60"/>
    <x v="80"/>
    <x v="2"/>
  </r>
  <r>
    <n v="4356"/>
    <x v="44"/>
    <x v="98"/>
    <x v="2"/>
    <x v="4"/>
    <x v="5"/>
    <x v="20"/>
    <x v="18"/>
    <x v="6"/>
    <n v="294"/>
    <n v="1.8"/>
    <n v="0.95"/>
    <n v="8"/>
    <n v="106.5"/>
    <n v="0"/>
    <n v="0"/>
    <n v="0"/>
    <n v="12.5555555555555"/>
    <n v="0"/>
    <x v="81"/>
    <x v="2"/>
  </r>
  <r>
    <n v="4370"/>
    <x v="45"/>
    <x v="99"/>
    <x v="2"/>
    <x v="4"/>
    <x v="5"/>
    <x v="19"/>
    <x v="24"/>
    <x v="7"/>
    <n v="678.5"/>
    <n v="2.9"/>
    <n v="1.4"/>
    <n v="16"/>
    <n v="195"/>
    <n v="26.6666666666666"/>
    <n v="0"/>
    <n v="0"/>
    <n v="32.2222222222222"/>
    <n v="11.9"/>
    <x v="82"/>
    <x v="2"/>
  </r>
  <r>
    <n v="4374"/>
    <x v="47"/>
    <x v="100"/>
    <x v="2"/>
    <x v="4"/>
    <x v="5"/>
    <x v="19"/>
    <x v="78"/>
    <x v="1"/>
    <n v="685"/>
    <n v="2.5499999999999998"/>
    <n v="1.5499999999999901"/>
    <n v="81.5"/>
    <n v="180"/>
    <n v="10.8333333333333"/>
    <n v="0"/>
    <n v="0"/>
    <n v="28.8888888888888"/>
    <n v="12.3333333333333"/>
    <x v="83"/>
    <x v="0"/>
  </r>
  <r>
    <n v="2057"/>
    <x v="48"/>
    <x v="52"/>
    <x v="2"/>
    <x v="4"/>
    <x v="7"/>
    <x v="29"/>
    <x v="79"/>
    <x v="3"/>
    <n v="1373"/>
    <n v="51.5"/>
    <n v="0.85"/>
    <n v="7024500"/>
    <n v="7395000"/>
    <n v="76.6666666666666"/>
    <n v="100"/>
    <n v="0"/>
    <n v="100"/>
    <n v="58.2"/>
    <x v="84"/>
    <x v="2"/>
  </r>
  <r>
    <n v="2265"/>
    <x v="50"/>
    <x v="54"/>
    <x v="2"/>
    <x v="4"/>
    <x v="6"/>
    <x v="24"/>
    <x v="1"/>
    <x v="44"/>
    <n v="235"/>
    <n v="2.8"/>
    <n v="0.95"/>
    <n v="1545"/>
    <n v="2300"/>
    <n v="0"/>
    <n v="0"/>
    <n v="0"/>
    <n v="100"/>
    <n v="0"/>
    <x v="3"/>
    <x v="0"/>
  </r>
  <r>
    <n v="2266"/>
    <x v="51"/>
    <x v="55"/>
    <x v="2"/>
    <x v="4"/>
    <x v="6"/>
    <x v="24"/>
    <x v="52"/>
    <x v="43"/>
    <n v="229"/>
    <n v="2.1"/>
    <n v="0.9"/>
    <n v="2300"/>
    <n v="3300"/>
    <n v="0"/>
    <n v="0"/>
    <n v="0"/>
    <n v="100"/>
    <n v="0"/>
    <x v="3"/>
    <x v="0"/>
  </r>
  <r>
    <n v="2268"/>
    <x v="52"/>
    <x v="56"/>
    <x v="2"/>
    <x v="4"/>
    <x v="6"/>
    <x v="24"/>
    <x v="32"/>
    <x v="46"/>
    <n v="23344"/>
    <n v="1.6"/>
    <n v="0.44999999999999901"/>
    <n v="1490"/>
    <n v="3100"/>
    <n v="0"/>
    <n v="0"/>
    <n v="0"/>
    <n v="100"/>
    <n v="100"/>
    <x v="72"/>
    <x v="0"/>
  </r>
  <r>
    <n v="2073"/>
    <x v="53"/>
    <x v="101"/>
    <x v="2"/>
    <x v="4"/>
    <x v="8"/>
    <x v="22"/>
    <x v="80"/>
    <x v="37"/>
    <n v="322"/>
    <n v="1.1000000000000001"/>
    <n v="2.1"/>
    <n v="4"/>
    <n v="26.5"/>
    <n v="0.83333333333334503"/>
    <n v="0"/>
    <n v="0"/>
    <n v="0"/>
    <n v="0"/>
    <x v="85"/>
    <x v="0"/>
  </r>
  <r>
    <n v="2074"/>
    <x v="106"/>
    <x v="102"/>
    <x v="2"/>
    <x v="4"/>
    <x v="8"/>
    <x v="33"/>
    <x v="14"/>
    <x v="34"/>
    <n v="562.5"/>
    <m/>
    <n v="0.5"/>
    <n v="25.5"/>
    <n v="95"/>
    <n v="0"/>
    <m/>
    <n v="0"/>
    <n v="10"/>
    <n v="4.1666666666666599"/>
    <x v="86"/>
    <x v="0"/>
  </r>
  <r>
    <n v="4421"/>
    <x v="107"/>
    <x v="103"/>
    <x v="2"/>
    <x v="4"/>
    <x v="8"/>
    <x v="19"/>
    <x v="8"/>
    <x v="55"/>
    <n v="427"/>
    <m/>
    <n v="0.3"/>
    <n v="7.8"/>
    <n v="45.5"/>
    <n v="0"/>
    <m/>
    <n v="0"/>
    <n v="0"/>
    <n v="0"/>
    <x v="1"/>
    <x v="0"/>
  </r>
  <r>
    <n v="1013"/>
    <x v="108"/>
    <x v="104"/>
    <x v="2"/>
    <x v="0"/>
    <x v="1"/>
    <x v="34"/>
    <x v="81"/>
    <x v="36"/>
    <n v="2162.5"/>
    <n v="1"/>
    <n v="0.83"/>
    <n v="635"/>
    <n v="7"/>
    <n v="0"/>
    <n v="0"/>
    <n v="0"/>
    <n v="0"/>
    <n v="100"/>
    <x v="3"/>
    <x v="0"/>
  </r>
  <r>
    <n v="4446"/>
    <x v="109"/>
    <x v="46"/>
    <x v="2"/>
    <x v="0"/>
    <x v="1"/>
    <x v="35"/>
    <x v="82"/>
    <x v="38"/>
    <n v="2435"/>
    <n v="1"/>
    <n v="1.1199999999999899"/>
    <n v="975"/>
    <n v="48"/>
    <n v="0"/>
    <n v="0"/>
    <n v="0"/>
    <n v="0"/>
    <n v="100"/>
    <x v="3"/>
    <x v="0"/>
  </r>
  <r>
    <n v="4447"/>
    <x v="110"/>
    <x v="46"/>
    <x v="2"/>
    <x v="0"/>
    <x v="1"/>
    <x v="36"/>
    <x v="83"/>
    <x v="39"/>
    <n v="1451.5"/>
    <n v="1"/>
    <n v="1.1199999999999899"/>
    <n v="1600"/>
    <n v="56"/>
    <n v="0"/>
    <n v="0"/>
    <n v="0"/>
    <n v="1.3333333333333299"/>
    <n v="63.433333333333302"/>
    <x v="87"/>
    <x v="0"/>
  </r>
  <r>
    <n v="4032"/>
    <x v="111"/>
    <x v="46"/>
    <x v="2"/>
    <x v="0"/>
    <x v="1"/>
    <x v="37"/>
    <x v="12"/>
    <x v="55"/>
    <n v="240.5"/>
    <n v="1"/>
    <n v="1.05"/>
    <n v="175"/>
    <n v="2"/>
    <n v="0"/>
    <n v="0"/>
    <n v="0"/>
    <n v="0"/>
    <n v="0"/>
    <x v="1"/>
    <x v="0"/>
  </r>
  <r>
    <n v="4033"/>
    <x v="112"/>
    <x v="46"/>
    <x v="2"/>
    <x v="0"/>
    <x v="1"/>
    <x v="38"/>
    <x v="84"/>
    <x v="35"/>
    <n v="231"/>
    <n v="1"/>
    <n v="0.87"/>
    <n v="345"/>
    <n v="2"/>
    <n v="0"/>
    <n v="0"/>
    <n v="0"/>
    <n v="0"/>
    <n v="0"/>
    <x v="1"/>
    <x v="0"/>
  </r>
  <r>
    <n v="4450"/>
    <x v="113"/>
    <x v="46"/>
    <x v="2"/>
    <x v="0"/>
    <x v="1"/>
    <x v="36"/>
    <x v="85"/>
    <x v="37"/>
    <n v="2398.5"/>
    <n v="1"/>
    <n v="1.22"/>
    <n v="824.5"/>
    <n v="2"/>
    <n v="0"/>
    <n v="0"/>
    <n v="0"/>
    <n v="0"/>
    <n v="100"/>
    <x v="3"/>
    <x v="0"/>
  </r>
  <r>
    <n v="4451"/>
    <x v="27"/>
    <x v="46"/>
    <x v="2"/>
    <x v="0"/>
    <x v="1"/>
    <x v="36"/>
    <x v="85"/>
    <x v="35"/>
    <n v="2403.5"/>
    <n v="1"/>
    <n v="1.42"/>
    <n v="910"/>
    <n v="3.5"/>
    <n v="0"/>
    <n v="0"/>
    <n v="0"/>
    <n v="0"/>
    <n v="100"/>
    <x v="3"/>
    <x v="0"/>
  </r>
  <r>
    <n v="30009"/>
    <x v="27"/>
    <x v="105"/>
    <x v="2"/>
    <x v="0"/>
    <x v="1"/>
    <x v="39"/>
    <x v="20"/>
    <x v="7"/>
    <n v="250"/>
    <n v="2"/>
    <n v="0.52"/>
    <n v="10245"/>
    <n v="169"/>
    <n v="0"/>
    <n v="0"/>
    <n v="0"/>
    <n v="26.4444444444444"/>
    <n v="0"/>
    <x v="88"/>
    <x v="0"/>
  </r>
  <r>
    <n v="1014"/>
    <x v="27"/>
    <x v="106"/>
    <x v="2"/>
    <x v="0"/>
    <x v="1"/>
    <x v="40"/>
    <x v="84"/>
    <x v="54"/>
    <n v="198.5"/>
    <n v="1"/>
    <n v="0.54500000000000004"/>
    <n v="124.5"/>
    <n v="2"/>
    <n v="0"/>
    <n v="0"/>
    <n v="0"/>
    <n v="0"/>
    <n v="0"/>
    <x v="1"/>
    <x v="2"/>
  </r>
  <r>
    <n v="1015"/>
    <x v="27"/>
    <x v="107"/>
    <x v="2"/>
    <x v="0"/>
    <x v="1"/>
    <x v="41"/>
    <x v="12"/>
    <x v="4"/>
    <n v="186.5"/>
    <n v="1"/>
    <n v="0.72"/>
    <n v="175"/>
    <n v="2"/>
    <n v="0"/>
    <n v="0"/>
    <n v="0"/>
    <n v="0"/>
    <n v="0"/>
    <x v="1"/>
    <x v="2"/>
  </r>
  <r>
    <n v="1016"/>
    <x v="27"/>
    <x v="108"/>
    <x v="2"/>
    <x v="0"/>
    <x v="1"/>
    <x v="42"/>
    <x v="86"/>
    <x v="49"/>
    <n v="223"/>
    <n v="1"/>
    <n v="2.69999999999999"/>
    <n v="12"/>
    <n v="2"/>
    <n v="0"/>
    <n v="0"/>
    <n v="0"/>
    <n v="0"/>
    <n v="0"/>
    <x v="1"/>
    <x v="2"/>
  </r>
  <r>
    <n v="30010"/>
    <x v="27"/>
    <x v="109"/>
    <x v="2"/>
    <x v="0"/>
    <x v="10"/>
    <x v="43"/>
    <x v="87"/>
    <x v="7"/>
    <n v="258.5"/>
    <n v="2"/>
    <n v="0.52"/>
    <n v="27700"/>
    <n v="275.5"/>
    <n v="0"/>
    <n v="0"/>
    <n v="0"/>
    <n v="50.1111111111111"/>
    <n v="0"/>
    <x v="89"/>
    <x v="2"/>
  </r>
  <r>
    <n v="1814"/>
    <x v="27"/>
    <x v="110"/>
    <x v="2"/>
    <x v="0"/>
    <x v="10"/>
    <x v="44"/>
    <x v="88"/>
    <x v="48"/>
    <n v="239.5"/>
    <n v="1"/>
    <n v="1.5"/>
    <n v="320"/>
    <m/>
    <n v="0"/>
    <n v="0"/>
    <n v="0"/>
    <m/>
    <n v="0"/>
    <x v="1"/>
    <x v="2"/>
  </r>
  <r>
    <n v="3052"/>
    <x v="114"/>
    <x v="111"/>
    <x v="1"/>
    <x v="8"/>
    <x v="5"/>
    <x v="12"/>
    <x v="89"/>
    <x v="7"/>
    <n v="1914"/>
    <n v="27.4"/>
    <n v="7.15"/>
    <n v="455"/>
    <n v="3750"/>
    <n v="82.5"/>
    <n v="100"/>
    <n v="0"/>
    <n v="100"/>
    <n v="94.266666666666595"/>
    <x v="90"/>
    <x v="2"/>
  </r>
  <r>
    <n v="3053"/>
    <x v="115"/>
    <x v="112"/>
    <x v="1"/>
    <x v="8"/>
    <x v="5"/>
    <x v="19"/>
    <x v="29"/>
    <x v="47"/>
    <n v="12512.5"/>
    <n v="3"/>
    <n v="2.0499999999999998"/>
    <n v="11.5"/>
    <n v="267.5"/>
    <n v="1.6666666666666601"/>
    <n v="0"/>
    <n v="0"/>
    <n v="48.3333333333333"/>
    <n v="100"/>
    <x v="91"/>
    <x v="2"/>
  </r>
  <r>
    <n v="4861"/>
    <x v="116"/>
    <x v="113"/>
    <x v="1"/>
    <x v="9"/>
    <x v="11"/>
    <x v="5"/>
    <x v="45"/>
    <x v="7"/>
    <n v="1110"/>
    <n v="1"/>
    <n v="0.3"/>
    <n v="120"/>
    <n v="2400"/>
    <n v="0"/>
    <n v="0"/>
    <n v="0"/>
    <n v="100"/>
    <n v="40.6666666666666"/>
    <x v="92"/>
    <x v="2"/>
  </r>
  <r>
    <n v="3047"/>
    <x v="117"/>
    <x v="114"/>
    <x v="1"/>
    <x v="9"/>
    <x v="11"/>
    <x v="24"/>
    <x v="66"/>
    <x v="4"/>
    <n v="1380"/>
    <n v="1"/>
    <n v="0.3"/>
    <n v="210"/>
    <n v="3900"/>
    <n v="0"/>
    <n v="0"/>
    <n v="0"/>
    <n v="100"/>
    <n v="58.6666666666666"/>
    <x v="93"/>
    <x v="2"/>
  </r>
  <r>
    <n v="4464"/>
    <x v="118"/>
    <x v="115"/>
    <x v="1"/>
    <x v="8"/>
    <x v="1"/>
    <x v="0"/>
    <x v="81"/>
    <x v="1"/>
    <n v="378"/>
    <n v="1"/>
    <n v="1.45"/>
    <n v="53"/>
    <n v="335"/>
    <n v="0"/>
    <n v="0"/>
    <n v="0"/>
    <n v="63.3333333333333"/>
    <n v="0"/>
    <x v="94"/>
    <x v="2"/>
  </r>
  <r>
    <n v="3868"/>
    <x v="119"/>
    <x v="46"/>
    <x v="1"/>
    <x v="8"/>
    <x v="1"/>
    <x v="45"/>
    <x v="15"/>
    <x v="7"/>
    <n v="78"/>
    <n v="1"/>
    <n v="0.5"/>
    <n v="39.5"/>
    <n v="169"/>
    <n v="0"/>
    <n v="0"/>
    <n v="0"/>
    <n v="26.4444444444444"/>
    <n v="0"/>
    <x v="88"/>
    <x v="2"/>
  </r>
  <r>
    <n v="3881"/>
    <x v="120"/>
    <x v="116"/>
    <x v="1"/>
    <x v="8"/>
    <x v="1"/>
    <x v="8"/>
    <x v="90"/>
    <x v="39"/>
    <n v="2904"/>
    <n v="10.5"/>
    <n v="6.05"/>
    <n v="801"/>
    <n v="813"/>
    <n v="16.6666666666666"/>
    <n v="100"/>
    <n v="0"/>
    <n v="100"/>
    <n v="100"/>
    <x v="95"/>
    <x v="1"/>
  </r>
  <r>
    <n v="3879"/>
    <x v="121"/>
    <x v="116"/>
    <x v="1"/>
    <x v="8"/>
    <x v="1"/>
    <x v="18"/>
    <x v="53"/>
    <x v="4"/>
    <n v="4100"/>
    <n v="45.6"/>
    <n v="3.9"/>
    <n v="803.5"/>
    <n v="865"/>
    <n v="45.8333333333333"/>
    <n v="100"/>
    <n v="0"/>
    <n v="100"/>
    <n v="100"/>
    <x v="96"/>
    <x v="1"/>
  </r>
  <r>
    <n v="4425"/>
    <x v="122"/>
    <x v="46"/>
    <x v="1"/>
    <x v="8"/>
    <x v="1"/>
    <x v="46"/>
    <x v="64"/>
    <x v="32"/>
    <n v="166.5"/>
    <n v="1"/>
    <n v="2.15"/>
    <n v="38.5"/>
    <n v="813"/>
    <n v="0"/>
    <n v="0"/>
    <n v="0"/>
    <n v="100"/>
    <n v="0"/>
    <x v="3"/>
    <x v="0"/>
  </r>
  <r>
    <n v="4463"/>
    <x v="123"/>
    <x v="117"/>
    <x v="1"/>
    <x v="8"/>
    <x v="1"/>
    <x v="47"/>
    <x v="91"/>
    <x v="34"/>
    <n v="440"/>
    <n v="1"/>
    <n v="1.25"/>
    <n v="24"/>
    <n v="810"/>
    <n v="0"/>
    <n v="0"/>
    <n v="0"/>
    <n v="100"/>
    <n v="0"/>
    <x v="3"/>
    <x v="0"/>
  </r>
  <r>
    <n v="4474"/>
    <x v="124"/>
    <x v="118"/>
    <x v="1"/>
    <x v="8"/>
    <x v="1"/>
    <x v="48"/>
    <x v="92"/>
    <x v="56"/>
    <n v="222"/>
    <n v="1"/>
    <n v="0.89999999999999902"/>
    <n v="86"/>
    <n v="803.5"/>
    <n v="0"/>
    <n v="0"/>
    <n v="0"/>
    <n v="100"/>
    <n v="0"/>
    <x v="3"/>
    <x v="0"/>
  </r>
  <r>
    <n v="4481"/>
    <x v="125"/>
    <x v="119"/>
    <x v="1"/>
    <x v="8"/>
    <x v="1"/>
    <x v="12"/>
    <x v="11"/>
    <x v="42"/>
    <n v="479"/>
    <n v="1.65"/>
    <n v="4.4000000000000004"/>
    <n v="4"/>
    <n v="34"/>
    <n v="0"/>
    <n v="0"/>
    <n v="0"/>
    <n v="0"/>
    <n v="0"/>
    <x v="1"/>
    <x v="0"/>
  </r>
  <r>
    <n v="5253"/>
    <x v="126"/>
    <x v="120"/>
    <x v="1"/>
    <x v="8"/>
    <x v="1"/>
    <x v="46"/>
    <x v="13"/>
    <x v="39"/>
    <n v="107.5"/>
    <n v="1"/>
    <n v="0.5"/>
    <n v="62.5"/>
    <n v="340"/>
    <n v="0"/>
    <n v="0"/>
    <n v="0"/>
    <n v="64.4444444444444"/>
    <n v="0"/>
    <x v="97"/>
    <x v="0"/>
  </r>
  <r>
    <n v="4426"/>
    <x v="127"/>
    <x v="46"/>
    <x v="1"/>
    <x v="8"/>
    <x v="1"/>
    <x v="49"/>
    <x v="93"/>
    <x v="56"/>
    <n v="124"/>
    <n v="1"/>
    <n v="0.65"/>
    <n v="66"/>
    <n v="801"/>
    <n v="0"/>
    <n v="0"/>
    <n v="0"/>
    <n v="100"/>
    <n v="0"/>
    <x v="3"/>
    <x v="0"/>
  </r>
  <r>
    <n v="4454"/>
    <x v="128"/>
    <x v="46"/>
    <x v="1"/>
    <x v="8"/>
    <x v="1"/>
    <x v="46"/>
    <x v="94"/>
    <x v="32"/>
    <n v="297.5"/>
    <n v="1"/>
    <n v="2.85"/>
    <n v="11"/>
    <n v="1761.5"/>
    <n v="0"/>
    <n v="0"/>
    <n v="0"/>
    <n v="100"/>
    <n v="0"/>
    <x v="3"/>
    <x v="0"/>
  </r>
  <r>
    <n v="4466"/>
    <x v="129"/>
    <x v="46"/>
    <x v="1"/>
    <x v="8"/>
    <x v="1"/>
    <x v="46"/>
    <x v="94"/>
    <x v="56"/>
    <n v="318"/>
    <n v="1"/>
    <n v="2.2999999999999998"/>
    <n v="11"/>
    <n v="1766.5"/>
    <n v="0"/>
    <n v="0"/>
    <n v="0"/>
    <n v="100"/>
    <n v="0"/>
    <x v="3"/>
    <x v="0"/>
  </r>
  <r>
    <n v="5257"/>
    <x v="130"/>
    <x v="121"/>
    <x v="1"/>
    <x v="8"/>
    <x v="1"/>
    <x v="50"/>
    <x v="86"/>
    <x v="1"/>
    <n v="203.5"/>
    <n v="1"/>
    <n v="1.25"/>
    <n v="12"/>
    <n v="823.5"/>
    <n v="0"/>
    <n v="0"/>
    <n v="0"/>
    <n v="100"/>
    <n v="0"/>
    <x v="3"/>
    <x v="0"/>
  </r>
  <r>
    <n v="4477"/>
    <x v="131"/>
    <x v="46"/>
    <x v="1"/>
    <x v="8"/>
    <x v="1"/>
    <x v="51"/>
    <x v="95"/>
    <x v="4"/>
    <n v="148.5"/>
    <n v="1"/>
    <n v="1.5999999999999901"/>
    <n v="71"/>
    <n v="530"/>
    <n v="0"/>
    <n v="0"/>
    <n v="0"/>
    <n v="100"/>
    <n v="0"/>
    <x v="3"/>
    <x v="0"/>
  </r>
  <r>
    <n v="4455"/>
    <x v="132"/>
    <x v="46"/>
    <x v="1"/>
    <x v="8"/>
    <x v="1"/>
    <x v="48"/>
    <x v="96"/>
    <x v="4"/>
    <n v="286.5"/>
    <n v="1"/>
    <n v="1"/>
    <n v="21"/>
    <n v="1797"/>
    <n v="0"/>
    <n v="0"/>
    <n v="0"/>
    <n v="100"/>
    <n v="0"/>
    <x v="3"/>
    <x v="0"/>
  </r>
  <r>
    <n v="4482"/>
    <x v="133"/>
    <x v="46"/>
    <x v="1"/>
    <x v="8"/>
    <x v="1"/>
    <x v="12"/>
    <x v="46"/>
    <x v="6"/>
    <n v="500.5"/>
    <n v="1.55"/>
    <n v="0.95"/>
    <n v="3"/>
    <n v="43.5"/>
    <n v="0"/>
    <n v="0"/>
    <n v="0"/>
    <n v="0"/>
    <n v="3.3333333333333298E-2"/>
    <x v="98"/>
    <x v="0"/>
  </r>
  <r>
    <n v="4036"/>
    <x v="134"/>
    <x v="122"/>
    <x v="1"/>
    <x v="8"/>
    <x v="1"/>
    <x v="15"/>
    <x v="3"/>
    <x v="34"/>
    <n v="1935.5"/>
    <n v="1.4"/>
    <n v="3.25"/>
    <n v="7"/>
    <n v="185.5"/>
    <n v="0"/>
    <n v="0"/>
    <n v="0"/>
    <n v="30.1111111111111"/>
    <n v="95.7"/>
    <x v="99"/>
    <x v="0"/>
  </r>
  <r>
    <n v="4430"/>
    <x v="135"/>
    <x v="123"/>
    <x v="1"/>
    <x v="8"/>
    <x v="1"/>
    <x v="10"/>
    <x v="55"/>
    <x v="43"/>
    <n v="455.5"/>
    <n v="6.75"/>
    <n v="3.6"/>
    <n v="183.5"/>
    <n v="1070"/>
    <n v="0"/>
    <n v="100"/>
    <n v="0"/>
    <n v="100"/>
    <n v="0"/>
    <x v="100"/>
    <x v="0"/>
  </r>
  <r>
    <n v="4475"/>
    <x v="136"/>
    <x v="124"/>
    <x v="1"/>
    <x v="8"/>
    <x v="1"/>
    <x v="48"/>
    <x v="92"/>
    <x v="32"/>
    <n v="237.5"/>
    <n v="1"/>
    <n v="1.2999999999999901"/>
    <n v="88.5"/>
    <n v="810.5"/>
    <n v="0"/>
    <n v="0"/>
    <n v="0"/>
    <n v="100"/>
    <n v="0"/>
    <x v="3"/>
    <x v="0"/>
  </r>
  <r>
    <n v="4476"/>
    <x v="137"/>
    <x v="125"/>
    <x v="1"/>
    <x v="8"/>
    <x v="1"/>
    <x v="52"/>
    <x v="97"/>
    <x v="1"/>
    <n v="54.5"/>
    <n v="1"/>
    <n v="0.5"/>
    <n v="83"/>
    <n v="312"/>
    <n v="0"/>
    <n v="0"/>
    <n v="0"/>
    <n v="58.2222222222222"/>
    <n v="0"/>
    <x v="101"/>
    <x v="0"/>
  </r>
  <r>
    <n v="4034"/>
    <x v="138"/>
    <x v="46"/>
    <x v="1"/>
    <x v="8"/>
    <x v="1"/>
    <x v="46"/>
    <x v="96"/>
    <x v="53"/>
    <n v="208"/>
    <n v="1"/>
    <n v="1.8"/>
    <n v="35"/>
    <n v="2747"/>
    <n v="0"/>
    <n v="0"/>
    <n v="0"/>
    <n v="100"/>
    <n v="0"/>
    <x v="3"/>
    <x v="0"/>
  </r>
  <r>
    <n v="4035"/>
    <x v="139"/>
    <x v="46"/>
    <x v="1"/>
    <x v="8"/>
    <x v="1"/>
    <x v="49"/>
    <x v="94"/>
    <x v="37"/>
    <n v="210.5"/>
    <n v="1"/>
    <n v="1.6"/>
    <n v="47.5"/>
    <n v="4631.5"/>
    <n v="0"/>
    <n v="0"/>
    <n v="0"/>
    <n v="100"/>
    <n v="0"/>
    <x v="3"/>
    <x v="0"/>
  </r>
  <r>
    <n v="4462"/>
    <x v="140"/>
    <x v="46"/>
    <x v="1"/>
    <x v="8"/>
    <x v="1"/>
    <x v="47"/>
    <x v="3"/>
    <x v="38"/>
    <n v="393"/>
    <n v="1"/>
    <n v="1.45"/>
    <n v="19.5"/>
    <n v="813"/>
    <n v="0"/>
    <n v="0"/>
    <n v="0"/>
    <n v="100"/>
    <n v="0"/>
    <x v="3"/>
    <x v="0"/>
  </r>
  <r>
    <n v="3867"/>
    <x v="141"/>
    <x v="46"/>
    <x v="1"/>
    <x v="8"/>
    <x v="1"/>
    <x v="48"/>
    <x v="11"/>
    <x v="1"/>
    <n v="164"/>
    <n v="1"/>
    <n v="0.95"/>
    <n v="86"/>
    <n v="309.5"/>
    <n v="0"/>
    <n v="0"/>
    <n v="0"/>
    <n v="57.6666666666666"/>
    <n v="0"/>
    <x v="102"/>
    <x v="0"/>
  </r>
  <r>
    <n v="1870"/>
    <x v="142"/>
    <x v="126"/>
    <x v="1"/>
    <x v="8"/>
    <x v="1"/>
    <x v="53"/>
    <x v="51"/>
    <x v="37"/>
    <n v="768.5"/>
    <n v="13.5"/>
    <n v="8.1"/>
    <n v="801"/>
    <n v="810.5"/>
    <n v="0"/>
    <n v="100"/>
    <n v="0"/>
    <n v="100"/>
    <n v="17.899999999999999"/>
    <x v="103"/>
    <x v="0"/>
  </r>
  <r>
    <n v="3875"/>
    <x v="143"/>
    <x v="46"/>
    <x v="1"/>
    <x v="8"/>
    <x v="1"/>
    <x v="54"/>
    <x v="46"/>
    <x v="38"/>
    <n v="538"/>
    <n v="4.25"/>
    <n v="6.6"/>
    <n v="17.5"/>
    <n v="282"/>
    <n v="0"/>
    <n v="41.6666666666666"/>
    <n v="0"/>
    <n v="51.5555555555555"/>
    <n v="2.5333333333333301"/>
    <x v="104"/>
    <x v="0"/>
  </r>
  <r>
    <n v="4480"/>
    <x v="144"/>
    <x v="46"/>
    <x v="1"/>
    <x v="8"/>
    <x v="1"/>
    <x v="45"/>
    <x v="16"/>
    <x v="38"/>
    <n v="522.5"/>
    <n v="1.8"/>
    <n v="5.35"/>
    <n v="13"/>
    <n v="188"/>
    <n v="0"/>
    <n v="0"/>
    <n v="0"/>
    <n v="30.6666666666666"/>
    <n v="1.5"/>
    <x v="105"/>
    <x v="0"/>
  </r>
  <r>
    <n v="2789"/>
    <x v="145"/>
    <x v="127"/>
    <x v="1"/>
    <x v="8"/>
    <x v="12"/>
    <x v="33"/>
    <x v="98"/>
    <x v="2"/>
    <n v="1497.5"/>
    <n v="10.1"/>
    <n v="1.3499999999999901"/>
    <n v="85"/>
    <n v="525"/>
    <n v="19.999999999999901"/>
    <n v="100"/>
    <n v="0"/>
    <n v="100"/>
    <n v="66.5"/>
    <x v="106"/>
    <x v="1"/>
  </r>
  <r>
    <n v="2178"/>
    <x v="146"/>
    <x v="128"/>
    <x v="1"/>
    <x v="8"/>
    <x v="12"/>
    <x v="3"/>
    <x v="99"/>
    <x v="55"/>
    <n v="914"/>
    <n v="10.5"/>
    <n v="2.8"/>
    <n v="87"/>
    <n v="112.5"/>
    <n v="47.5"/>
    <n v="100"/>
    <n v="0"/>
    <n v="13.8888888888888"/>
    <n v="27.6"/>
    <x v="107"/>
    <x v="1"/>
  </r>
  <r>
    <n v="2790"/>
    <x v="147"/>
    <x v="129"/>
    <x v="1"/>
    <x v="8"/>
    <x v="12"/>
    <x v="26"/>
    <x v="100"/>
    <x v="57"/>
    <n v="2860.5"/>
    <n v="2.4"/>
    <n v="1"/>
    <n v="8.5"/>
    <n v="32"/>
    <n v="0"/>
    <n v="0"/>
    <n v="0"/>
    <n v="0"/>
    <n v="100"/>
    <x v="3"/>
    <x v="0"/>
  </r>
  <r>
    <n v="3923"/>
    <x v="148"/>
    <x v="46"/>
    <x v="1"/>
    <x v="8"/>
    <x v="13"/>
    <x v="20"/>
    <x v="101"/>
    <x v="6"/>
    <n v="522.5"/>
    <n v="6.15"/>
    <n v="5"/>
    <n v="28650"/>
    <n v="83950"/>
    <n v="33.3333333333333"/>
    <n v="100"/>
    <n v="0"/>
    <n v="100"/>
    <n v="1.5"/>
    <x v="108"/>
    <x v="1"/>
  </r>
  <r>
    <n v="20046"/>
    <x v="149"/>
    <x v="46"/>
    <x v="1"/>
    <x v="10"/>
    <x v="14"/>
    <x v="55"/>
    <x v="99"/>
    <x v="6"/>
    <n v="1460"/>
    <n v="11"/>
    <n v="0.65"/>
    <n v="5501"/>
    <n v="11001"/>
    <n v="47.5"/>
    <n v="100"/>
    <n v="0"/>
    <n v="100"/>
    <n v="64"/>
    <x v="109"/>
    <x v="1"/>
  </r>
  <r>
    <n v="3054"/>
    <x v="150"/>
    <x v="130"/>
    <x v="1"/>
    <x v="8"/>
    <x v="15"/>
    <x v="20"/>
    <x v="102"/>
    <x v="58"/>
    <n v="821"/>
    <n v="3.2"/>
    <n v="2.35"/>
    <n v="9.5"/>
    <n v="148.5"/>
    <n v="36.6666666666666"/>
    <n v="6.6666666666666696"/>
    <n v="94.999999999999901"/>
    <n v="21.8888888888888"/>
    <n v="21.4"/>
    <x v="110"/>
    <x v="0"/>
  </r>
  <r>
    <n v="4665"/>
    <x v="151"/>
    <x v="131"/>
    <x v="1"/>
    <x v="8"/>
    <x v="15"/>
    <x v="2"/>
    <x v="103"/>
    <x v="34"/>
    <n v="689"/>
    <n v="2.5"/>
    <n v="8.6999999999999993"/>
    <n v="2"/>
    <n v="42"/>
    <n v="25.8333333333333"/>
    <n v="0"/>
    <n v="0"/>
    <n v="0"/>
    <n v="12.6"/>
    <x v="111"/>
    <x v="0"/>
  </r>
  <r>
    <n v="3055"/>
    <x v="152"/>
    <x v="132"/>
    <x v="1"/>
    <x v="10"/>
    <x v="15"/>
    <x v="22"/>
    <x v="104"/>
    <x v="1"/>
    <n v="1490.5"/>
    <n v="17.2"/>
    <n v="6.1"/>
    <n v="25"/>
    <n v="570"/>
    <n v="54.1666666666666"/>
    <n v="100"/>
    <n v="0"/>
    <n v="100"/>
    <n v="66.033333333333303"/>
    <x v="112"/>
    <x v="1"/>
  </r>
  <r>
    <n v="3050"/>
    <x v="117"/>
    <x v="114"/>
    <x v="1"/>
    <x v="9"/>
    <x v="16"/>
    <x v="29"/>
    <x v="33"/>
    <x v="6"/>
    <n v="180.5"/>
    <n v="1"/>
    <n v="0.3"/>
    <n v="2"/>
    <n v="2"/>
    <n v="5.8333333333333197"/>
    <n v="0"/>
    <n v="0"/>
    <n v="0"/>
    <n v="0"/>
    <x v="113"/>
    <x v="0"/>
  </r>
  <r>
    <m/>
    <x v="153"/>
    <x v="44"/>
    <x v="3"/>
    <x v="11"/>
    <x v="17"/>
    <x v="56"/>
    <x v="44"/>
    <x v="59"/>
    <m/>
    <m/>
    <m/>
    <m/>
    <m/>
    <m/>
    <m/>
    <m/>
    <m/>
    <m/>
    <x v="11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7724FA-BBD1-46F1-A695-BE065C2EF6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E33" firstHeaderRow="0" firstDataRow="1" firstDataCol="1"/>
  <pivotFields count="21">
    <pivotField showAll="0"/>
    <pivotField showAll="0"/>
    <pivotField showAll="0">
      <items count="134">
        <item x="23"/>
        <item x="29"/>
        <item x="62"/>
        <item x="100"/>
        <item x="30"/>
        <item x="14"/>
        <item x="0"/>
        <item x="3"/>
        <item x="7"/>
        <item x="75"/>
        <item x="86"/>
        <item x="25"/>
        <item x="56"/>
        <item x="108"/>
        <item x="110"/>
        <item x="107"/>
        <item x="120"/>
        <item x="121"/>
        <item x="101"/>
        <item x="128"/>
        <item x="129"/>
        <item x="127"/>
        <item x="96"/>
        <item x="99"/>
        <item x="49"/>
        <item x="126"/>
        <item x="33"/>
        <item x="47"/>
        <item x="84"/>
        <item x="103"/>
        <item x="65"/>
        <item x="85"/>
        <item x="69"/>
        <item x="82"/>
        <item x="63"/>
        <item x="12"/>
        <item x="78"/>
        <item x="90"/>
        <item x="40"/>
        <item x="67"/>
        <item x="28"/>
        <item x="1"/>
        <item x="97"/>
        <item x="24"/>
        <item x="52"/>
        <item x="8"/>
        <item x="2"/>
        <item x="116"/>
        <item x="83"/>
        <item x="105"/>
        <item x="41"/>
        <item x="81"/>
        <item x="64"/>
        <item x="102"/>
        <item x="98"/>
        <item x="5"/>
        <item x="94"/>
        <item x="43"/>
        <item x="9"/>
        <item x="109"/>
        <item x="77"/>
        <item x="36"/>
        <item x="130"/>
        <item x="35"/>
        <item x="20"/>
        <item x="54"/>
        <item x="55"/>
        <item x="87"/>
        <item x="88"/>
        <item x="34"/>
        <item x="51"/>
        <item x="122"/>
        <item x="4"/>
        <item x="89"/>
        <item x="91"/>
        <item x="11"/>
        <item x="31"/>
        <item x="18"/>
        <item x="27"/>
        <item x="106"/>
        <item x="104"/>
        <item x="112"/>
        <item x="26"/>
        <item x="111"/>
        <item x="17"/>
        <item x="16"/>
        <item x="6"/>
        <item x="132"/>
        <item x="73"/>
        <item x="53"/>
        <item x="76"/>
        <item x="59"/>
        <item x="115"/>
        <item x="19"/>
        <item x="113"/>
        <item x="61"/>
        <item x="45"/>
        <item x="13"/>
        <item x="68"/>
        <item x="22"/>
        <item x="114"/>
        <item x="80"/>
        <item x="119"/>
        <item x="74"/>
        <item x="66"/>
        <item x="21"/>
        <item x="32"/>
        <item x="131"/>
        <item x="38"/>
        <item x="39"/>
        <item x="93"/>
        <item x="42"/>
        <item x="125"/>
        <item x="79"/>
        <item x="57"/>
        <item x="58"/>
        <item x="123"/>
        <item x="117"/>
        <item x="118"/>
        <item x="71"/>
        <item x="124"/>
        <item x="10"/>
        <item x="46"/>
        <item x="48"/>
        <item x="92"/>
        <item x="50"/>
        <item x="60"/>
        <item x="72"/>
        <item x="70"/>
        <item x="15"/>
        <item x="95"/>
        <item x="37"/>
        <item x="44"/>
        <item t="default"/>
      </items>
    </pivotField>
    <pivotField showAll="0"/>
    <pivotField axis="axisRow" showAll="0">
      <items count="13">
        <item x="2"/>
        <item x="4"/>
        <item x="7"/>
        <item x="8"/>
        <item x="5"/>
        <item x="1"/>
        <item x="6"/>
        <item x="0"/>
        <item x="3"/>
        <item x="10"/>
        <item x="9"/>
        <item x="11"/>
        <item t="default"/>
      </items>
    </pivotField>
    <pivotField showAll="0">
      <items count="19">
        <item x="5"/>
        <item x="9"/>
        <item x="7"/>
        <item x="6"/>
        <item x="8"/>
        <item x="11"/>
        <item x="1"/>
        <item x="0"/>
        <item x="3"/>
        <item x="12"/>
        <item x="13"/>
        <item x="10"/>
        <item x="4"/>
        <item x="14"/>
        <item x="15"/>
        <item x="16"/>
        <item x="2"/>
        <item x="17"/>
        <item t="default"/>
      </items>
    </pivotField>
    <pivotField dataField="1" showAll="0">
      <items count="58">
        <item x="45"/>
        <item x="52"/>
        <item x="54"/>
        <item x="53"/>
        <item x="51"/>
        <item x="48"/>
        <item x="49"/>
        <item x="36"/>
        <item x="46"/>
        <item x="35"/>
        <item x="34"/>
        <item x="14"/>
        <item x="15"/>
        <item x="50"/>
        <item x="47"/>
        <item x="40"/>
        <item x="44"/>
        <item x="41"/>
        <item x="13"/>
        <item x="17"/>
        <item x="38"/>
        <item x="37"/>
        <item x="10"/>
        <item x="39"/>
        <item x="42"/>
        <item x="43"/>
        <item x="18"/>
        <item x="11"/>
        <item x="1"/>
        <item x="6"/>
        <item x="8"/>
        <item x="0"/>
        <item x="30"/>
        <item x="29"/>
        <item x="9"/>
        <item x="4"/>
        <item x="16"/>
        <item x="12"/>
        <item x="23"/>
        <item x="3"/>
        <item x="19"/>
        <item x="7"/>
        <item x="5"/>
        <item x="2"/>
        <item x="20"/>
        <item x="21"/>
        <item x="22"/>
        <item x="26"/>
        <item x="24"/>
        <item x="32"/>
        <item x="25"/>
        <item x="31"/>
        <item x="33"/>
        <item x="55"/>
        <item x="27"/>
        <item x="28"/>
        <item x="56"/>
        <item t="default"/>
      </items>
    </pivotField>
    <pivotField dataField="1" showAll="0">
      <items count="106">
        <item x="62"/>
        <item x="43"/>
        <item x="89"/>
        <item x="79"/>
        <item x="26"/>
        <item x="38"/>
        <item x="60"/>
        <item x="104"/>
        <item x="99"/>
        <item x="53"/>
        <item x="102"/>
        <item x="101"/>
        <item x="76"/>
        <item x="0"/>
        <item x="70"/>
        <item x="71"/>
        <item x="24"/>
        <item x="103"/>
        <item x="72"/>
        <item x="73"/>
        <item x="23"/>
        <item x="56"/>
        <item x="98"/>
        <item x="63"/>
        <item x="49"/>
        <item x="25"/>
        <item x="90"/>
        <item x="69"/>
        <item x="41"/>
        <item x="68"/>
        <item x="48"/>
        <item x="78"/>
        <item x="47"/>
        <item x="50"/>
        <item x="39"/>
        <item x="57"/>
        <item x="33"/>
        <item x="61"/>
        <item x="42"/>
        <item x="27"/>
        <item x="34"/>
        <item x="29"/>
        <item x="80"/>
        <item x="77"/>
        <item x="35"/>
        <item x="58"/>
        <item x="32"/>
        <item x="2"/>
        <item x="28"/>
        <item x="52"/>
        <item x="40"/>
        <item x="67"/>
        <item x="37"/>
        <item x="75"/>
        <item x="51"/>
        <item x="1"/>
        <item x="31"/>
        <item x="30"/>
        <item x="36"/>
        <item x="18"/>
        <item x="74"/>
        <item x="65"/>
        <item x="19"/>
        <item x="5"/>
        <item x="22"/>
        <item x="66"/>
        <item x="55"/>
        <item x="59"/>
        <item x="45"/>
        <item x="54"/>
        <item x="100"/>
        <item x="8"/>
        <item x="3"/>
        <item x="91"/>
        <item x="16"/>
        <item x="6"/>
        <item x="4"/>
        <item x="14"/>
        <item x="13"/>
        <item x="10"/>
        <item x="46"/>
        <item x="11"/>
        <item x="9"/>
        <item x="7"/>
        <item x="15"/>
        <item x="95"/>
        <item x="93"/>
        <item x="64"/>
        <item x="17"/>
        <item x="97"/>
        <item x="88"/>
        <item x="81"/>
        <item x="86"/>
        <item x="83"/>
        <item x="84"/>
        <item x="82"/>
        <item x="12"/>
        <item x="94"/>
        <item x="85"/>
        <item x="96"/>
        <item x="20"/>
        <item x="21"/>
        <item x="92"/>
        <item x="87"/>
        <item x="44"/>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items count="116">
        <item x="1"/>
        <item x="98"/>
        <item x="12"/>
        <item x="85"/>
        <item x="81"/>
        <item x="86"/>
        <item x="113"/>
        <item x="10"/>
        <item x="7"/>
        <item x="88"/>
        <item x="4"/>
        <item x="8"/>
        <item x="105"/>
        <item x="5"/>
        <item x="41"/>
        <item x="89"/>
        <item x="39"/>
        <item x="19"/>
        <item x="11"/>
        <item x="102"/>
        <item x="101"/>
        <item x="94"/>
        <item x="97"/>
        <item x="87"/>
        <item x="38"/>
        <item x="83"/>
        <item x="0"/>
        <item x="111"/>
        <item x="2"/>
        <item x="15"/>
        <item x="17"/>
        <item x="3"/>
        <item x="78"/>
        <item x="62"/>
        <item x="21"/>
        <item x="27"/>
        <item x="63"/>
        <item x="24"/>
        <item x="43"/>
        <item x="23"/>
        <item x="56"/>
        <item x="44"/>
        <item x="61"/>
        <item x="54"/>
        <item x="6"/>
        <item x="31"/>
        <item x="22"/>
        <item x="9"/>
        <item x="36"/>
        <item x="32"/>
        <item x="82"/>
        <item x="28"/>
        <item x="99"/>
        <item x="50"/>
        <item x="47"/>
        <item x="16"/>
        <item x="74"/>
        <item x="65"/>
        <item x="75"/>
        <item x="52"/>
        <item x="104"/>
        <item x="60"/>
        <item x="59"/>
        <item x="92"/>
        <item x="30"/>
        <item x="29"/>
        <item x="26"/>
        <item x="64"/>
        <item x="33"/>
        <item x="25"/>
        <item x="77"/>
        <item x="91"/>
        <item x="49"/>
        <item x="58"/>
        <item x="35"/>
        <item x="93"/>
        <item x="34"/>
        <item x="53"/>
        <item x="69"/>
        <item x="71"/>
        <item x="70"/>
        <item x="68"/>
        <item x="67"/>
        <item x="40"/>
        <item x="76"/>
        <item x="48"/>
        <item x="73"/>
        <item x="72"/>
        <item x="20"/>
        <item x="45"/>
        <item x="80"/>
        <item x="66"/>
        <item x="46"/>
        <item x="100"/>
        <item x="13"/>
        <item x="14"/>
        <item x="103"/>
        <item x="79"/>
        <item x="110"/>
        <item x="107"/>
        <item x="108"/>
        <item x="106"/>
        <item x="95"/>
        <item x="42"/>
        <item x="51"/>
        <item x="18"/>
        <item x="55"/>
        <item x="109"/>
        <item x="37"/>
        <item x="112"/>
        <item x="96"/>
        <item x="57"/>
        <item x="84"/>
        <item x="90"/>
        <item x="114"/>
        <item t="default"/>
      </items>
    </pivotField>
    <pivotField showAll="0">
      <items count="5">
        <item x="0"/>
        <item x="1"/>
        <item x="2"/>
        <item x="3"/>
        <item t="default"/>
      </items>
    </pivotField>
  </pivotFields>
  <rowFields count="1">
    <field x="4"/>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Average dissolved" fld="7" subtotal="average" baseField="4" baseItem="0"/>
    <dataField name="Average temperature " fld="6" subtotal="average" baseField="4" baseItem="0"/>
    <dataField name="Average nitraten_mgl" fld="11" subtotal="average" baseField="4" baseItem="0"/>
    <dataField name="Average ph" fld="8" subtotal="average" baseField="4" baseItem="0"/>
  </dataFields>
  <formats count="1">
    <format dxfId="0">
      <pivotArea collapsedLevelsAreSubtotals="1" fieldPosition="0">
        <references count="1">
          <reference field="4" count="11">
            <x v="0"/>
            <x v="1"/>
            <x v="2"/>
            <x v="3"/>
            <x v="4"/>
            <x v="5"/>
            <x v="6"/>
            <x v="7"/>
            <x v="8"/>
            <x v="9"/>
            <x v="1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1A2C1-8405-41DB-BD0A-26B108FA7A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1">
    <pivotField showAll="0"/>
    <pivotField showAll="0"/>
    <pivotField showAll="0"/>
    <pivotField showAll="0">
      <items count="5">
        <item x="2"/>
        <item x="0"/>
        <item x="1"/>
        <item x="3"/>
        <item t="default"/>
      </items>
    </pivotField>
    <pivotField axis="axisRow" dataField="1" showAll="0">
      <items count="13">
        <item x="2"/>
        <item x="4"/>
        <item x="7"/>
        <item x="8"/>
        <item x="5"/>
        <item x="1"/>
        <item x="6"/>
        <item x="0"/>
        <item x="3"/>
        <item x="10"/>
        <item x="9"/>
        <item x="11"/>
        <item t="default"/>
      </items>
    </pivotField>
    <pivotField showAll="0">
      <items count="19">
        <item x="5"/>
        <item x="9"/>
        <item x="7"/>
        <item x="6"/>
        <item x="8"/>
        <item x="11"/>
        <item x="1"/>
        <item x="0"/>
        <item x="3"/>
        <item x="12"/>
        <item x="13"/>
        <item x="10"/>
        <item x="4"/>
        <item x="14"/>
        <item x="15"/>
        <item x="16"/>
        <item x="2"/>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Type Water Body" fld="4" subtotal="count" baseField="4" baseItem="0" numFmtId="1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73C212-F015-40CE-AE42-F61703B5C33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5:G98" firstHeaderRow="0" firstDataRow="1" firstDataCol="1"/>
  <pivotFields count="21">
    <pivotField showAll="0"/>
    <pivotField showAll="0"/>
    <pivotField showAll="0"/>
    <pivotField showAll="0"/>
    <pivotField axis="axisRow" showAll="0">
      <items count="13">
        <item x="2"/>
        <item x="4"/>
        <item x="7"/>
        <item x="8"/>
        <item x="5"/>
        <item x="1"/>
        <item x="6"/>
        <item x="0"/>
        <item x="3"/>
        <item x="10"/>
        <item x="9"/>
        <item x="11"/>
        <item t="default"/>
      </items>
    </pivotField>
    <pivotField showAll="0">
      <items count="19">
        <item x="5"/>
        <item x="9"/>
        <item x="7"/>
        <item x="6"/>
        <item x="8"/>
        <item x="11"/>
        <item x="1"/>
        <item x="0"/>
        <item x="3"/>
        <item x="12"/>
        <item x="13"/>
        <item x="10"/>
        <item x="4"/>
        <item x="14"/>
        <item x="15"/>
        <item x="16"/>
        <item x="2"/>
        <item x="17"/>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Avg temperature " fld="6" subtotal="average" baseField="0" baseItem="0"/>
    <dataField name="Avg nitraten_mgl" fld="11" subtotal="average" baseField="0" baseItem="0"/>
    <dataField name="Avg dissolved" fld="7" subtotal="average" baseField="0" baseItem="0"/>
    <dataField name="Average of avg_ph" fld="8" subtotal="average" baseField="0" baseItem="0"/>
    <dataField name="Avg conductivity_mhocm" fld="9" subtotal="average" baseField="0" baseItem="0"/>
    <dataField name="Avg bod_mgl" fld="10" subtotal="average" baseField="0" baseItem="0"/>
  </dataFields>
  <formats count="1">
    <format dxfId="1">
      <pivotArea collapsedLevelsAreSubtotals="1" fieldPosition="0">
        <references count="2">
          <reference field="4294967294" count="5" selected="0">
            <x v="1"/>
            <x v="2"/>
            <x v="3"/>
            <x v="4"/>
            <x v="5"/>
          </reference>
          <reference field="4" count="11">
            <x v="0"/>
            <x v="1"/>
            <x v="2"/>
            <x v="3"/>
            <x v="4"/>
            <x v="5"/>
            <x v="6"/>
            <x v="7"/>
            <x v="8"/>
            <x v="9"/>
            <x v="1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4"/>
          </reference>
        </references>
      </pivotArea>
    </chartFormat>
    <chartFormat chart="2"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2CD01B-9E66-4097-B945-11C4536B3AD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1:B76" firstHeaderRow="1" firstDataRow="1" firstDataCol="1"/>
  <pivotFields count="21">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WQI" fld="19" baseField="0" baseItem="0"/>
  </dataFields>
  <formats count="1">
    <format dxfId="2">
      <pivotArea collapsedLevelsAreSubtotals="1" fieldPosition="0">
        <references count="1">
          <reference field="3" count="3">
            <x v="0"/>
            <x v="1"/>
            <x v="2"/>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94EC67-89DA-45D2-ADF3-57F5CD92E5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B66" firstHeaderRow="1" firstDataRow="1" firstDataCol="1"/>
  <pivotFields count="21">
    <pivotField showAll="0"/>
    <pivotField showAll="0">
      <items count="155">
        <item x="1"/>
        <item x="23"/>
        <item x="7"/>
        <item x="20"/>
        <item x="21"/>
        <item x="19"/>
        <item x="5"/>
        <item x="26"/>
        <item x="25"/>
        <item x="10"/>
        <item x="9"/>
        <item x="8"/>
        <item x="4"/>
        <item x="12"/>
        <item x="14"/>
        <item x="18"/>
        <item x="13"/>
        <item x="17"/>
        <item x="15"/>
        <item x="16"/>
        <item x="0"/>
        <item x="22"/>
        <item x="3"/>
        <item x="2"/>
        <item x="36"/>
        <item x="34"/>
        <item x="31"/>
        <item x="32"/>
        <item x="24"/>
        <item x="6"/>
        <item x="109"/>
        <item x="27"/>
        <item x="113"/>
        <item x="111"/>
        <item x="112"/>
        <item x="110"/>
        <item x="108"/>
        <item x="11"/>
        <item x="30"/>
        <item x="102"/>
        <item x="37"/>
        <item x="101"/>
        <item x="48"/>
        <item x="118"/>
        <item x="152"/>
        <item x="119"/>
        <item x="75"/>
        <item x="76"/>
        <item x="120"/>
        <item x="121"/>
        <item x="77"/>
        <item x="78"/>
        <item x="79"/>
        <item x="43"/>
        <item x="41"/>
        <item x="51"/>
        <item x="50"/>
        <item x="146"/>
        <item x="33"/>
        <item x="103"/>
        <item x="52"/>
        <item x="123"/>
        <item x="80"/>
        <item x="55"/>
        <item x="56"/>
        <item x="57"/>
        <item x="44"/>
        <item x="35"/>
        <item x="107"/>
        <item x="81"/>
        <item x="82"/>
        <item x="83"/>
        <item x="47"/>
        <item x="114"/>
        <item x="148"/>
        <item x="58"/>
        <item x="124"/>
        <item x="84"/>
        <item x="125"/>
        <item x="59"/>
        <item x="126"/>
        <item x="85"/>
        <item x="129"/>
        <item x="128"/>
        <item x="86"/>
        <item x="87"/>
        <item x="60"/>
        <item x="130"/>
        <item x="61"/>
        <item x="62"/>
        <item x="131"/>
        <item x="132"/>
        <item x="45"/>
        <item x="38"/>
        <item x="134"/>
        <item x="63"/>
        <item x="135"/>
        <item x="133"/>
        <item x="136"/>
        <item x="149"/>
        <item x="64"/>
        <item x="65"/>
        <item x="88"/>
        <item x="66"/>
        <item x="137"/>
        <item x="67"/>
        <item x="40"/>
        <item x="104"/>
        <item x="42"/>
        <item x="145"/>
        <item x="53"/>
        <item x="116"/>
        <item x="89"/>
        <item x="54"/>
        <item x="28"/>
        <item x="100"/>
        <item x="99"/>
        <item x="90"/>
        <item x="68"/>
        <item x="69"/>
        <item x="147"/>
        <item x="94"/>
        <item x="91"/>
        <item x="92"/>
        <item x="93"/>
        <item x="122"/>
        <item x="127"/>
        <item x="150"/>
        <item x="151"/>
        <item x="29"/>
        <item x="139"/>
        <item x="138"/>
        <item x="140"/>
        <item x="70"/>
        <item x="46"/>
        <item x="71"/>
        <item x="141"/>
        <item x="72"/>
        <item x="95"/>
        <item x="73"/>
        <item x="74"/>
        <item x="96"/>
        <item x="142"/>
        <item x="144"/>
        <item x="143"/>
        <item x="106"/>
        <item x="97"/>
        <item x="98"/>
        <item x="39"/>
        <item x="115"/>
        <item x="105"/>
        <item x="117"/>
        <item x="49"/>
        <item x="153"/>
        <item t="default"/>
      </items>
    </pivotField>
    <pivotField showAll="0">
      <items count="134">
        <item x="23"/>
        <item x="29"/>
        <item x="62"/>
        <item x="100"/>
        <item x="30"/>
        <item x="14"/>
        <item x="0"/>
        <item x="3"/>
        <item x="7"/>
        <item x="75"/>
        <item x="86"/>
        <item x="25"/>
        <item x="56"/>
        <item x="108"/>
        <item x="110"/>
        <item x="107"/>
        <item x="120"/>
        <item x="121"/>
        <item x="101"/>
        <item x="128"/>
        <item x="129"/>
        <item x="127"/>
        <item x="96"/>
        <item x="99"/>
        <item x="49"/>
        <item x="126"/>
        <item x="33"/>
        <item x="47"/>
        <item x="84"/>
        <item x="103"/>
        <item x="65"/>
        <item x="85"/>
        <item x="69"/>
        <item x="82"/>
        <item x="63"/>
        <item x="12"/>
        <item x="78"/>
        <item x="90"/>
        <item x="40"/>
        <item x="67"/>
        <item x="28"/>
        <item x="1"/>
        <item x="97"/>
        <item x="24"/>
        <item x="52"/>
        <item x="8"/>
        <item x="2"/>
        <item x="116"/>
        <item x="83"/>
        <item x="105"/>
        <item x="41"/>
        <item x="81"/>
        <item x="64"/>
        <item x="102"/>
        <item x="98"/>
        <item x="5"/>
        <item x="94"/>
        <item x="43"/>
        <item x="9"/>
        <item x="109"/>
        <item x="77"/>
        <item x="36"/>
        <item x="130"/>
        <item x="35"/>
        <item x="20"/>
        <item x="54"/>
        <item x="55"/>
        <item x="87"/>
        <item x="88"/>
        <item x="34"/>
        <item x="51"/>
        <item x="122"/>
        <item x="4"/>
        <item x="89"/>
        <item x="91"/>
        <item x="11"/>
        <item x="31"/>
        <item x="18"/>
        <item x="27"/>
        <item x="106"/>
        <item x="104"/>
        <item x="112"/>
        <item x="26"/>
        <item x="111"/>
        <item x="17"/>
        <item x="16"/>
        <item x="6"/>
        <item x="132"/>
        <item x="73"/>
        <item x="53"/>
        <item x="76"/>
        <item x="59"/>
        <item x="115"/>
        <item x="19"/>
        <item x="113"/>
        <item x="61"/>
        <item x="45"/>
        <item x="13"/>
        <item x="68"/>
        <item x="22"/>
        <item x="114"/>
        <item x="80"/>
        <item x="119"/>
        <item x="74"/>
        <item x="66"/>
        <item x="21"/>
        <item x="32"/>
        <item x="131"/>
        <item x="38"/>
        <item x="39"/>
        <item x="93"/>
        <item x="42"/>
        <item x="125"/>
        <item x="79"/>
        <item x="57"/>
        <item x="58"/>
        <item x="123"/>
        <item x="117"/>
        <item x="118"/>
        <item x="71"/>
        <item x="124"/>
        <item x="10"/>
        <item x="46"/>
        <item x="48"/>
        <item x="92"/>
        <item x="50"/>
        <item x="60"/>
        <item x="72"/>
        <item x="70"/>
        <item x="15"/>
        <item x="95"/>
        <item x="37"/>
        <item x="44"/>
        <item t="default"/>
      </items>
    </pivotField>
    <pivotField showAll="0">
      <items count="5">
        <item x="2"/>
        <item x="0"/>
        <item x="1"/>
        <item x="3"/>
        <item t="default"/>
      </items>
    </pivotField>
    <pivotField showAll="0">
      <items count="13">
        <item x="2"/>
        <item x="4"/>
        <item x="7"/>
        <item x="8"/>
        <item x="5"/>
        <item x="1"/>
        <item x="6"/>
        <item x="0"/>
        <item x="3"/>
        <item x="10"/>
        <item x="9"/>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2"/>
        <item x="3"/>
        <item t="default"/>
      </items>
    </pivotField>
  </pivotFields>
  <rowFields count="1">
    <field x="20"/>
  </rowFields>
  <rowItems count="5">
    <i>
      <x/>
    </i>
    <i>
      <x v="1"/>
    </i>
    <i>
      <x v="2"/>
    </i>
    <i>
      <x v="3"/>
    </i>
    <i t="grand">
      <x/>
    </i>
  </rowItems>
  <colItems count="1">
    <i/>
  </colItems>
  <dataFields count="1">
    <dataField name="Count of WQI_Category"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76EE75-42EC-4864-849F-3276CEF321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B58" firstHeaderRow="1" firstDataRow="1" firstDataCol="1"/>
  <pivotFields count="21">
    <pivotField showAll="0"/>
    <pivotField showAll="0"/>
    <pivotField showAll="0"/>
    <pivotField showAll="0"/>
    <pivotField showAll="0"/>
    <pivotField axis="axisRow" showAll="0">
      <items count="19">
        <item x="5"/>
        <item x="9"/>
        <item x="7"/>
        <item x="6"/>
        <item x="8"/>
        <item x="11"/>
        <item x="1"/>
        <item x="0"/>
        <item x="3"/>
        <item x="12"/>
        <item x="13"/>
        <item x="10"/>
        <item x="4"/>
        <item x="14"/>
        <item x="15"/>
        <item x="16"/>
        <item x="2"/>
        <item x="17"/>
        <item t="default"/>
      </items>
    </pivotField>
    <pivotField showAll="0"/>
    <pivotField showAll="0"/>
    <pivotField showAll="0">
      <items count="61">
        <item x="40"/>
        <item x="0"/>
        <item x="57"/>
        <item x="41"/>
        <item x="52"/>
        <item x="46"/>
        <item x="44"/>
        <item x="45"/>
        <item x="43"/>
        <item x="47"/>
        <item x="50"/>
        <item x="51"/>
        <item x="42"/>
        <item x="6"/>
        <item x="5"/>
        <item x="7"/>
        <item x="3"/>
        <item x="49"/>
        <item x="8"/>
        <item x="1"/>
        <item x="4"/>
        <item x="21"/>
        <item x="35"/>
        <item x="2"/>
        <item x="31"/>
        <item x="24"/>
        <item x="54"/>
        <item x="55"/>
        <item x="13"/>
        <item x="30"/>
        <item x="36"/>
        <item x="18"/>
        <item x="19"/>
        <item x="39"/>
        <item x="9"/>
        <item x="22"/>
        <item x="37"/>
        <item x="20"/>
        <item x="53"/>
        <item x="32"/>
        <item x="11"/>
        <item x="14"/>
        <item x="56"/>
        <item x="17"/>
        <item x="25"/>
        <item x="38"/>
        <item x="15"/>
        <item x="12"/>
        <item x="16"/>
        <item x="48"/>
        <item x="23"/>
        <item x="33"/>
        <item x="34"/>
        <item x="26"/>
        <item x="10"/>
        <item x="28"/>
        <item x="27"/>
        <item x="29"/>
        <item x="58"/>
        <item x="59"/>
        <item t="default"/>
      </items>
    </pivotField>
    <pivotField showAll="0"/>
    <pivotField showAll="0"/>
    <pivotField showAll="0"/>
    <pivotField showAll="0"/>
    <pivotField showAll="0"/>
    <pivotField showAll="0"/>
    <pivotField showAll="0"/>
    <pivotField showAll="0"/>
    <pivotField showAll="0"/>
    <pivotField showAll="0"/>
    <pivotField dataField="1" showAll="0">
      <items count="116">
        <item x="1"/>
        <item x="98"/>
        <item x="12"/>
        <item x="85"/>
        <item x="81"/>
        <item x="86"/>
        <item x="113"/>
        <item x="10"/>
        <item x="7"/>
        <item x="88"/>
        <item x="4"/>
        <item x="8"/>
        <item x="105"/>
        <item x="5"/>
        <item x="41"/>
        <item x="89"/>
        <item x="39"/>
        <item x="19"/>
        <item x="11"/>
        <item x="102"/>
        <item x="101"/>
        <item x="94"/>
        <item x="97"/>
        <item x="87"/>
        <item x="38"/>
        <item x="83"/>
        <item x="0"/>
        <item x="111"/>
        <item x="2"/>
        <item x="15"/>
        <item x="17"/>
        <item x="3"/>
        <item x="78"/>
        <item x="62"/>
        <item x="21"/>
        <item x="27"/>
        <item x="63"/>
        <item x="24"/>
        <item x="43"/>
        <item x="23"/>
        <item x="56"/>
        <item x="44"/>
        <item x="61"/>
        <item x="54"/>
        <item x="6"/>
        <item x="31"/>
        <item x="22"/>
        <item x="9"/>
        <item x="36"/>
        <item x="32"/>
        <item x="82"/>
        <item x="28"/>
        <item x="99"/>
        <item x="50"/>
        <item x="47"/>
        <item x="16"/>
        <item x="74"/>
        <item x="65"/>
        <item x="75"/>
        <item x="52"/>
        <item x="104"/>
        <item x="60"/>
        <item x="59"/>
        <item x="92"/>
        <item x="30"/>
        <item x="29"/>
        <item x="26"/>
        <item x="64"/>
        <item x="33"/>
        <item x="25"/>
        <item x="77"/>
        <item x="91"/>
        <item x="49"/>
        <item x="58"/>
        <item x="35"/>
        <item x="93"/>
        <item x="34"/>
        <item x="53"/>
        <item x="69"/>
        <item x="71"/>
        <item x="70"/>
        <item x="68"/>
        <item x="67"/>
        <item x="40"/>
        <item x="76"/>
        <item x="48"/>
        <item x="73"/>
        <item x="72"/>
        <item x="20"/>
        <item x="45"/>
        <item x="80"/>
        <item x="66"/>
        <item x="46"/>
        <item x="100"/>
        <item x="13"/>
        <item x="14"/>
        <item x="103"/>
        <item x="79"/>
        <item x="110"/>
        <item x="107"/>
        <item x="108"/>
        <item x="106"/>
        <item x="95"/>
        <item x="42"/>
        <item x="51"/>
        <item x="18"/>
        <item x="55"/>
        <item x="109"/>
        <item x="37"/>
        <item x="112"/>
        <item x="96"/>
        <item x="57"/>
        <item x="84"/>
        <item x="90"/>
        <item x="114"/>
        <item t="default"/>
      </items>
    </pivotField>
    <pivotField showAll="0"/>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WQI" fld="19" subtotal="average" baseField="5" baseItem="0"/>
  </dataFields>
  <formats count="1">
    <format dxfId="3">
      <pivotArea collapsedLevelsAreSubtotals="1" fieldPosition="0">
        <references count="1">
          <reference field="5" count="17">
            <x v="0"/>
            <x v="1"/>
            <x v="2"/>
            <x v="3"/>
            <x v="4"/>
            <x v="5"/>
            <x v="6"/>
            <x v="7"/>
            <x v="8"/>
            <x v="9"/>
            <x v="10"/>
            <x v="11"/>
            <x v="12"/>
            <x v="13"/>
            <x v="14"/>
            <x v="15"/>
            <x v="16"/>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7DA781-528F-4DDE-88AE-F64DBDD6CFA9}" sourceName="Year">
  <pivotTables>
    <pivotTable tabId="7" name="PivotTable3"/>
  </pivotTables>
  <data>
    <tabular pivotCacheId="1974090552">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5A705F52-3ED7-4EB4-AD4A-058A0AD183CF}" sourceName="State Name">
  <pivotTables>
    <pivotTable tabId="7" name="PivotTable3"/>
  </pivotTables>
  <data>
    <tabular pivotCacheId="1974090552">
      <items count="18">
        <i x="5" s="1"/>
        <i x="9" s="1"/>
        <i x="7" s="1"/>
        <i x="6" s="1"/>
        <i x="8" s="1"/>
        <i x="11" s="1"/>
        <i x="1" s="1"/>
        <i x="0" s="1"/>
        <i x="3" s="1"/>
        <i x="12" s="1"/>
        <i x="13" s="1"/>
        <i x="10" s="1"/>
        <i x="4" s="1"/>
        <i x="14" s="1"/>
        <i x="15" s="1"/>
        <i x="16" s="1"/>
        <i x="2"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5A52F9-62BF-4BC7-961D-C0CC0FD03C0C}" cache="Slicer_Year" caption="Year" rowHeight="234950"/>
  <slicer name="State Name" xr10:uid="{EB117A16-435F-47AA-BCD9-1722BA9A6F43}" cache="Slicer_State_Name" caption="State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B33DFD-6E55-4FD8-8CF1-975BDFB19B83}" name="Table3" displayName="Table3" ref="M1:W195" totalsRowShown="0">
  <autoFilter ref="M1:W195" xr:uid="{D5B33DFD-6E55-4FD8-8CF1-975BDFB19B83}"/>
  <tableColumns count="11">
    <tableColumn id="1" xr3:uid="{9A9B3DC4-4F3D-4A0E-826A-635AFDB64CD2}" name="Conductivity (Â¬Âµmho/cm) - Min"/>
    <tableColumn id="2" xr3:uid="{BBF74D42-DB7C-43DE-9344-7210618227CF}" name="Conductivity (Â¬Âµmho/cm) - Max"/>
    <tableColumn id="3" xr3:uid="{5D8F0734-F9B4-4E77-8B5A-1A17AD974ABC}" name="BOD (mg/L) - Min"/>
    <tableColumn id="4" xr3:uid="{818C5582-1ACD-4CC6-A081-8B6F0BE5C424}" name="BOD (mg/L) - Max"/>
    <tableColumn id="5" xr3:uid="{5252BD78-36E5-43DA-9714-570946BB8CC0}" name="NitrateN (mg/L) - Min"/>
    <tableColumn id="6" xr3:uid="{F8B3649C-A9EA-4770-85E4-D8EB0B769CBC}" name="NitrateN (mg/L) - Max"/>
    <tableColumn id="7" xr3:uid="{81836A03-6A20-4EF8-9C1B-14AD2364A570}" name="Fecal Coliform (MPN/100ml) - Min"/>
    <tableColumn id="8" xr3:uid="{3211C5EA-23A2-4D13-9857-5C74C39FF272}" name="Fecal Coliform (MPN/100ml) - Max"/>
    <tableColumn id="9" xr3:uid="{9D0FE7AF-BE19-4555-823B-BDD85569080C}" name="Total Coliform (MPN/100ml) - Min"/>
    <tableColumn id="10" xr3:uid="{711EA41A-532B-4776-9847-56054E000D31}" name="Total Coliform (MPN/100ml) - Max"/>
    <tableColumn id="11" xr3:uid="{0F1FD7E1-05C4-4AC7-887F-0D7A466B5123}" name="Fecal - M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06745D-6B96-4DB5-89D8-0273B490F278}" name="Table1" displayName="Table1" ref="A1:V219" totalsRowShown="0">
  <autoFilter ref="A1:V219" xr:uid="{5506745D-6B96-4DB5-89D8-0273B490F278}"/>
  <tableColumns count="22">
    <tableColumn id="1" xr3:uid="{DA0814B1-EA83-48BE-B5B2-B796A178A998}" name="STN code"/>
    <tableColumn id="2" xr3:uid="{1A6FE537-C8CF-4F26-A5AC-0F93EAFE408E}" name="Name"/>
    <tableColumn id="3" xr3:uid="{F812E6E5-186E-4221-AD2C-445C1800F568}" name="Location"/>
    <tableColumn id="4" xr3:uid="{743C5278-22D0-4A93-8BCC-123D08D31BBF}" name="Year"/>
    <tableColumn id="5" xr3:uid="{62816113-3FEB-46D9-9B45-99B64B8787A3}" name="Type Water Body"/>
    <tableColumn id="6" xr3:uid="{F9382559-6B2B-4818-B311-B90277CC606D}" name="State Name"/>
    <tableColumn id="7" xr3:uid="{6B7B3D21-8550-4364-BEA0-DCF6D9BBD561}" name="Temperature (C) - Min"/>
    <tableColumn id="8" xr3:uid="{EB2C8441-498E-42DF-A4D1-A83C66F06669}" name="Temperature (C) - Max"/>
    <tableColumn id="9" xr3:uid="{C2006ABD-4975-4894-AA4E-EF97513287C3}" name="Dissolved - Min"/>
    <tableColumn id="10" xr3:uid="{0C43A366-5811-4626-9B60-D052B447731E}" name="Dissolved - Max"/>
    <tableColumn id="11" xr3:uid="{DC6DC53D-7512-470A-A574-787970D38AD1}" name="pH - Min"/>
    <tableColumn id="12" xr3:uid="{51E989C6-ACE1-4BEB-AFBB-439F094650B8}" name="pH - Max"/>
    <tableColumn id="13" xr3:uid="{1694B70E-EB65-410B-8AD3-BFA17D409370}" name="Conductivity (Â¬Âµmho/cm) - Min"/>
    <tableColumn id="14" xr3:uid="{E59BA4D6-CD04-42D9-8005-3802D3FEC2FB}" name="Conductivity (Â¬Âµmho/cm) - Max"/>
    <tableColumn id="15" xr3:uid="{9C0B33E9-A78C-4386-B0F6-8F7AE9E6F7F0}" name="BOD (mg/L) - Min"/>
    <tableColumn id="16" xr3:uid="{9562FACB-A286-40B7-952C-49E285F0852B}" name="BOD (mg/L) - Max"/>
    <tableColumn id="17" xr3:uid="{A15E65E9-7658-4465-89B9-D1DAE7E5FEA7}" name="NitrateN (mg/L) - Min"/>
    <tableColumn id="18" xr3:uid="{2AF85806-088E-4FBD-8A0D-5364EC261BE4}" name="NitrateN (mg/L) - Max"/>
    <tableColumn id="19" xr3:uid="{C0292E79-8439-4350-9618-26542AB1CE71}" name="Fecal Coliform (MPN/100ml) - Min"/>
    <tableColumn id="20" xr3:uid="{43416E61-9632-41AB-9F63-0877255837CD}" name="Fecal Coliform (MPN/100ml) - Max"/>
    <tableColumn id="21" xr3:uid="{9F2E3BAC-7265-49E7-886C-CE944D05D0A5}" name="Total Coliform (MPN/100ml) - Min"/>
    <tableColumn id="22" xr3:uid="{CCF49AD1-F1AC-44C0-88F3-6F005B03D926}" name="Total Coliform (MPN/100ml) - Max"/>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104F48-A36C-4AA4-8C3F-7DE0CADEE462}" name="Table13" displayName="Table13" ref="A1:U196" totalsRowShown="0">
  <autoFilter ref="A1:U196" xr:uid="{5506745D-6B96-4DB5-89D8-0273B490F278}"/>
  <tableColumns count="21">
    <tableColumn id="1" xr3:uid="{51D0801F-09A8-49C2-8E45-A3B3B00B8F4E}" name="STN code"/>
    <tableColumn id="2" xr3:uid="{191C2B8D-1FC4-4A3D-8685-23ACA3D53A89}" name="Name"/>
    <tableColumn id="3" xr3:uid="{A3CDCFF5-317C-411E-A6EA-3D50C7ADA0B9}" name="Location"/>
    <tableColumn id="4" xr3:uid="{73C5C343-D8CF-49FE-9D76-23BBAE7A856F}" name="Year"/>
    <tableColumn id="5" xr3:uid="{D03B96EF-4B91-4F4F-8670-822FFD5031B0}" name="Type Water Body"/>
    <tableColumn id="6" xr3:uid="{4F0C6146-7D1A-4D1C-9BEA-E3908490DB2D}" name="State Name"/>
    <tableColumn id="7" xr3:uid="{B91AB2B4-9319-43F8-8B50-D5A57E3F8542}" name="avg_temperature "/>
    <tableColumn id="8" xr3:uid="{E2C73127-6371-40A1-B3FB-3ECDF96E0EE2}" name="avg_dissolved"/>
    <tableColumn id="9" xr3:uid="{8C9C3999-0CEB-4999-A2D1-E25450DA888A}" name="avg_ph"/>
    <tableColumn id="10" xr3:uid="{F4BCF6EB-1203-4831-82BF-5E39D9AFCBA5}" name="avg_conductivity_mhocm"/>
    <tableColumn id="11" xr3:uid="{35B0DD95-95E5-4AE1-B37B-8E358AAD6A0D}" name="avg_bod_mgl"/>
    <tableColumn id="12" xr3:uid="{B5D6B03A-6468-46C8-9058-7DA5DF569FCA}" name="avg_nitraten_mgl"/>
    <tableColumn id="13" xr3:uid="{B8F869A5-29B1-4833-AA7C-80583B9FDC14}" name="avg_fecal_coliform_mpn100ml"/>
    <tableColumn id="14" xr3:uid="{4F11525A-ED93-442B-80B7-DE37C752ACE1}" name="avg_fecal_coliform_mpn100ml2"/>
    <tableColumn id="15" xr3:uid="{13C9BAB9-A42E-4AB5-9A4F-807E033CCCB3}" name="wq_score_do"/>
    <tableColumn id="16" xr3:uid="{EC5390FB-813A-4340-8B48-5ACF16F09C2C}" name="wq_score_bod"/>
    <tableColumn id="17" xr3:uid="{CB86B17A-77A1-4717-9B1C-0FABDFECF985}" name="wq_score_ph"/>
    <tableColumn id="18" xr3:uid="{1B01DEC4-51DE-4062-B91C-CB435E4D0214}" name="wq_score_tcol"/>
    <tableColumn id="19" xr3:uid="{2C1F9DF5-684F-4510-83D0-16D209680D1C}" name="wq_score_cond"/>
    <tableColumn id="20" xr3:uid="{C709FE79-D091-4C22-8FFA-CF0AEFA98C28}" name="WQI"/>
    <tableColumn id="21" xr3:uid="{D16E1F0C-917E-4C54-A7B2-5D71B7C419E8}" name="WQI_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C0CE-E776-4F6A-8B5C-F29CAAB665A6}">
  <dimension ref="A1:X195"/>
  <sheetViews>
    <sheetView topLeftCell="F1" zoomScale="94" zoomScaleNormal="66" workbookViewId="0">
      <selection activeCell="H4" sqref="H4:H14"/>
    </sheetView>
  </sheetViews>
  <sheetFormatPr defaultRowHeight="14.4" x14ac:dyDescent="0.3"/>
  <cols>
    <col min="2" max="2" width="157.77734375" bestFit="1" customWidth="1"/>
    <col min="13" max="13" width="31.88671875" bestFit="1" customWidth="1"/>
    <col min="14" max="14" width="32.109375" customWidth="1"/>
    <col min="15" max="15" width="18" customWidth="1"/>
    <col min="16" max="16" width="18.5546875" customWidth="1"/>
    <col min="17" max="17" width="21.33203125" customWidth="1"/>
    <col min="18" max="18" width="21.88671875" customWidth="1"/>
    <col min="19" max="19" width="31.77734375" customWidth="1"/>
    <col min="20" max="20" width="32.33203125" customWidth="1"/>
    <col min="21" max="21" width="31.6640625" customWidth="1"/>
    <col min="22" max="22" width="32.109375" customWidth="1"/>
    <col min="23" max="23" width="12.3320312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4085</v>
      </c>
      <c r="B2" t="s">
        <v>24</v>
      </c>
      <c r="D2">
        <v>2022</v>
      </c>
      <c r="E2" t="s">
        <v>25</v>
      </c>
      <c r="F2" t="s">
        <v>26</v>
      </c>
      <c r="G2">
        <v>12</v>
      </c>
      <c r="H2">
        <v>29</v>
      </c>
      <c r="I2">
        <v>3.3</v>
      </c>
      <c r="J2">
        <v>5.2</v>
      </c>
      <c r="K2">
        <v>6.5</v>
      </c>
      <c r="L2">
        <v>6.6</v>
      </c>
      <c r="O2">
        <v>2</v>
      </c>
      <c r="P2">
        <v>2.9</v>
      </c>
    </row>
    <row r="3" spans="1:24" x14ac:dyDescent="0.3">
      <c r="A3">
        <v>2396</v>
      </c>
      <c r="B3" t="s">
        <v>27</v>
      </c>
      <c r="D3">
        <v>2022</v>
      </c>
      <c r="E3" t="s">
        <v>25</v>
      </c>
      <c r="F3" t="s">
        <v>26</v>
      </c>
      <c r="G3">
        <v>12</v>
      </c>
      <c r="H3">
        <v>26</v>
      </c>
      <c r="I3">
        <v>5.9</v>
      </c>
      <c r="J3">
        <v>7.2</v>
      </c>
      <c r="K3">
        <v>7.5</v>
      </c>
      <c r="L3">
        <v>7.6</v>
      </c>
      <c r="O3">
        <v>1.9</v>
      </c>
      <c r="P3">
        <v>3.2</v>
      </c>
    </row>
    <row r="4" spans="1:24" x14ac:dyDescent="0.3">
      <c r="A4">
        <v>2401</v>
      </c>
      <c r="B4" t="s">
        <v>28</v>
      </c>
      <c r="D4">
        <v>2022</v>
      </c>
      <c r="E4" t="s">
        <v>25</v>
      </c>
      <c r="F4" t="s">
        <v>26</v>
      </c>
      <c r="G4">
        <v>17</v>
      </c>
      <c r="H4">
        <v>36</v>
      </c>
      <c r="I4">
        <v>5.8</v>
      </c>
      <c r="J4">
        <v>6.6</v>
      </c>
      <c r="K4">
        <v>7.5</v>
      </c>
      <c r="L4">
        <v>7.8</v>
      </c>
      <c r="M4">
        <v>94</v>
      </c>
      <c r="N4">
        <v>318</v>
      </c>
      <c r="O4">
        <v>1.3</v>
      </c>
      <c r="P4">
        <v>1.6</v>
      </c>
    </row>
    <row r="5" spans="1:24" x14ac:dyDescent="0.3">
      <c r="A5">
        <v>3554</v>
      </c>
      <c r="B5" t="s">
        <v>29</v>
      </c>
      <c r="D5">
        <v>2022</v>
      </c>
      <c r="E5" t="s">
        <v>25</v>
      </c>
      <c r="F5" t="s">
        <v>26</v>
      </c>
      <c r="G5">
        <v>19</v>
      </c>
      <c r="H5">
        <v>34</v>
      </c>
      <c r="I5">
        <v>7.4</v>
      </c>
      <c r="J5">
        <v>7.8</v>
      </c>
      <c r="K5">
        <v>7.3</v>
      </c>
      <c r="L5">
        <v>7.6</v>
      </c>
      <c r="O5">
        <v>1.8</v>
      </c>
      <c r="P5">
        <v>2.7</v>
      </c>
    </row>
    <row r="6" spans="1:24" x14ac:dyDescent="0.3">
      <c r="A6">
        <v>2390</v>
      </c>
      <c r="B6" t="s">
        <v>30</v>
      </c>
      <c r="D6">
        <v>2022</v>
      </c>
      <c r="E6" t="s">
        <v>25</v>
      </c>
      <c r="F6" t="s">
        <v>26</v>
      </c>
      <c r="G6">
        <v>16</v>
      </c>
      <c r="H6">
        <v>33</v>
      </c>
      <c r="I6">
        <v>7.4</v>
      </c>
      <c r="J6">
        <v>8</v>
      </c>
      <c r="K6">
        <v>7.4</v>
      </c>
      <c r="L6">
        <v>7.8</v>
      </c>
      <c r="O6">
        <v>1.3</v>
      </c>
      <c r="P6">
        <v>2</v>
      </c>
    </row>
    <row r="7" spans="1:24" x14ac:dyDescent="0.3">
      <c r="A7">
        <v>4000</v>
      </c>
      <c r="B7" t="s">
        <v>31</v>
      </c>
      <c r="D7">
        <v>2022</v>
      </c>
      <c r="E7" t="s">
        <v>25</v>
      </c>
      <c r="F7" t="s">
        <v>26</v>
      </c>
      <c r="G7">
        <v>15</v>
      </c>
      <c r="H7">
        <v>30</v>
      </c>
      <c r="I7">
        <v>6.5</v>
      </c>
      <c r="J7">
        <v>7.5</v>
      </c>
      <c r="K7">
        <v>7.2</v>
      </c>
      <c r="L7">
        <v>7.5</v>
      </c>
      <c r="O7">
        <v>2.2000000000000002</v>
      </c>
      <c r="P7">
        <v>3.6</v>
      </c>
    </row>
    <row r="8" spans="1:24" x14ac:dyDescent="0.3">
      <c r="A8">
        <v>2381</v>
      </c>
      <c r="B8" t="s">
        <v>32</v>
      </c>
      <c r="D8">
        <v>2022</v>
      </c>
      <c r="E8" t="s">
        <v>25</v>
      </c>
      <c r="F8" t="s">
        <v>26</v>
      </c>
      <c r="G8">
        <v>18.5</v>
      </c>
      <c r="H8">
        <v>33.5</v>
      </c>
      <c r="I8">
        <v>7.3</v>
      </c>
      <c r="J8">
        <v>8.1</v>
      </c>
      <c r="K8">
        <v>7</v>
      </c>
      <c r="L8">
        <v>7.6</v>
      </c>
      <c r="O8">
        <v>1.6</v>
      </c>
      <c r="P8">
        <v>2.8</v>
      </c>
    </row>
    <row r="9" spans="1:24" x14ac:dyDescent="0.3">
      <c r="A9">
        <v>1034</v>
      </c>
      <c r="B9" t="s">
        <v>33</v>
      </c>
      <c r="D9">
        <v>2022</v>
      </c>
      <c r="E9" t="s">
        <v>25</v>
      </c>
      <c r="F9" t="s">
        <v>26</v>
      </c>
      <c r="G9">
        <v>12</v>
      </c>
      <c r="H9">
        <v>27</v>
      </c>
      <c r="I9">
        <v>7.8</v>
      </c>
      <c r="J9">
        <v>8.5</v>
      </c>
      <c r="K9">
        <v>7.3</v>
      </c>
      <c r="L9">
        <v>7.5</v>
      </c>
      <c r="O9">
        <v>1.1000000000000001</v>
      </c>
      <c r="P9">
        <v>1.8</v>
      </c>
    </row>
    <row r="10" spans="1:24" x14ac:dyDescent="0.3">
      <c r="A10">
        <v>2392</v>
      </c>
      <c r="B10" t="s">
        <v>34</v>
      </c>
      <c r="D10">
        <v>2022</v>
      </c>
      <c r="E10" t="s">
        <v>25</v>
      </c>
      <c r="F10" t="s">
        <v>26</v>
      </c>
      <c r="G10">
        <v>13</v>
      </c>
      <c r="H10">
        <v>26</v>
      </c>
      <c r="I10">
        <v>7.3</v>
      </c>
      <c r="J10">
        <v>7.8</v>
      </c>
      <c r="K10">
        <v>7.4</v>
      </c>
      <c r="L10">
        <v>7.6</v>
      </c>
      <c r="O10">
        <v>1.3</v>
      </c>
      <c r="P10">
        <v>2.2999999999999998</v>
      </c>
    </row>
    <row r="11" spans="1:24" x14ac:dyDescent="0.3">
      <c r="A11">
        <v>3555</v>
      </c>
      <c r="B11" t="s">
        <v>35</v>
      </c>
      <c r="D11">
        <v>2022</v>
      </c>
      <c r="E11" t="s">
        <v>25</v>
      </c>
      <c r="F11" t="s">
        <v>26</v>
      </c>
      <c r="G11">
        <v>18</v>
      </c>
      <c r="H11">
        <v>33</v>
      </c>
      <c r="I11">
        <v>7.5</v>
      </c>
      <c r="J11">
        <v>8.6999999999999993</v>
      </c>
      <c r="K11">
        <v>7.4</v>
      </c>
      <c r="L11">
        <v>7.6</v>
      </c>
      <c r="O11">
        <v>1.8</v>
      </c>
      <c r="P11">
        <v>2.7</v>
      </c>
    </row>
    <row r="12" spans="1:24" x14ac:dyDescent="0.3">
      <c r="A12">
        <v>4083</v>
      </c>
      <c r="B12" t="s">
        <v>36</v>
      </c>
      <c r="D12">
        <v>2022</v>
      </c>
      <c r="E12" t="s">
        <v>25</v>
      </c>
      <c r="F12" t="s">
        <v>26</v>
      </c>
      <c r="G12">
        <v>14</v>
      </c>
      <c r="H12">
        <v>26</v>
      </c>
      <c r="I12">
        <v>6.7</v>
      </c>
      <c r="J12">
        <v>8.5</v>
      </c>
      <c r="K12">
        <v>6.6</v>
      </c>
      <c r="L12">
        <v>8</v>
      </c>
      <c r="O12">
        <v>1.5</v>
      </c>
      <c r="P12">
        <v>3</v>
      </c>
    </row>
    <row r="13" spans="1:24" x14ac:dyDescent="0.3">
      <c r="A13">
        <v>3553</v>
      </c>
      <c r="B13" t="s">
        <v>37</v>
      </c>
      <c r="D13">
        <v>2022</v>
      </c>
      <c r="E13" t="s">
        <v>25</v>
      </c>
      <c r="F13" t="s">
        <v>26</v>
      </c>
      <c r="G13">
        <v>14.5</v>
      </c>
      <c r="H13">
        <v>30</v>
      </c>
      <c r="I13">
        <v>7.3</v>
      </c>
      <c r="J13">
        <v>8.5</v>
      </c>
      <c r="K13">
        <v>7.4</v>
      </c>
      <c r="L13">
        <v>7.7</v>
      </c>
      <c r="O13">
        <v>2.2999999999999998</v>
      </c>
      <c r="P13">
        <v>3.4</v>
      </c>
      <c r="X13" t="s">
        <v>38</v>
      </c>
    </row>
    <row r="14" spans="1:24" x14ac:dyDescent="0.3">
      <c r="A14">
        <v>1510</v>
      </c>
      <c r="B14" t="s">
        <v>39</v>
      </c>
      <c r="D14">
        <v>2022</v>
      </c>
      <c r="E14" t="s">
        <v>25</v>
      </c>
      <c r="F14" t="s">
        <v>40</v>
      </c>
      <c r="G14">
        <v>8</v>
      </c>
      <c r="H14">
        <v>24</v>
      </c>
      <c r="I14">
        <v>7.1</v>
      </c>
      <c r="J14">
        <v>9</v>
      </c>
      <c r="K14">
        <v>7.52</v>
      </c>
      <c r="L14">
        <v>8.14</v>
      </c>
      <c r="M14">
        <v>55</v>
      </c>
      <c r="N14">
        <v>1000</v>
      </c>
      <c r="Q14">
        <v>0.37</v>
      </c>
      <c r="R14">
        <v>1.9</v>
      </c>
      <c r="S14">
        <v>2</v>
      </c>
      <c r="T14">
        <v>33</v>
      </c>
      <c r="U14">
        <v>7.8</v>
      </c>
      <c r="V14">
        <v>920</v>
      </c>
      <c r="W14" t="s">
        <v>38</v>
      </c>
      <c r="X14">
        <v>2</v>
      </c>
    </row>
    <row r="15" spans="1:24" x14ac:dyDescent="0.3">
      <c r="A15">
        <v>30023</v>
      </c>
      <c r="B15" t="s">
        <v>41</v>
      </c>
      <c r="D15">
        <v>2022</v>
      </c>
      <c r="E15" t="s">
        <v>25</v>
      </c>
      <c r="F15" t="s">
        <v>42</v>
      </c>
      <c r="G15">
        <v>14</v>
      </c>
      <c r="H15">
        <v>23.5</v>
      </c>
      <c r="I15">
        <v>8.6999999999999993</v>
      </c>
      <c r="J15">
        <v>9.4</v>
      </c>
      <c r="K15">
        <v>8.1</v>
      </c>
      <c r="L15">
        <v>8.5</v>
      </c>
      <c r="M15">
        <v>158</v>
      </c>
      <c r="N15">
        <v>290</v>
      </c>
      <c r="Q15">
        <v>0.32</v>
      </c>
      <c r="R15">
        <v>0.52</v>
      </c>
      <c r="S15">
        <v>4</v>
      </c>
      <c r="T15">
        <v>21000</v>
      </c>
      <c r="U15">
        <v>13</v>
      </c>
      <c r="V15">
        <v>79000</v>
      </c>
      <c r="W15">
        <v>2</v>
      </c>
      <c r="X15" t="s">
        <v>38</v>
      </c>
    </row>
    <row r="16" spans="1:24" x14ac:dyDescent="0.3">
      <c r="A16">
        <v>4027</v>
      </c>
      <c r="B16" t="s">
        <v>43</v>
      </c>
      <c r="D16">
        <v>2022</v>
      </c>
      <c r="E16" t="s">
        <v>25</v>
      </c>
      <c r="F16" t="s">
        <v>40</v>
      </c>
      <c r="G16">
        <v>21</v>
      </c>
      <c r="H16">
        <v>26</v>
      </c>
      <c r="I16">
        <v>7.5</v>
      </c>
      <c r="J16">
        <v>8.3000000000000007</v>
      </c>
      <c r="K16">
        <v>7.55</v>
      </c>
      <c r="L16">
        <v>8.27</v>
      </c>
      <c r="M16">
        <v>277</v>
      </c>
      <c r="N16">
        <v>557</v>
      </c>
      <c r="Q16">
        <v>0.32</v>
      </c>
      <c r="R16">
        <v>1.19</v>
      </c>
      <c r="S16">
        <v>26</v>
      </c>
      <c r="T16">
        <v>40</v>
      </c>
      <c r="U16">
        <v>130</v>
      </c>
      <c r="V16">
        <v>210</v>
      </c>
      <c r="W16" t="s">
        <v>38</v>
      </c>
      <c r="X16" t="s">
        <v>38</v>
      </c>
    </row>
    <row r="17" spans="1:24" x14ac:dyDescent="0.3">
      <c r="A17">
        <v>4028</v>
      </c>
      <c r="B17" t="s">
        <v>44</v>
      </c>
      <c r="D17">
        <v>2022</v>
      </c>
      <c r="E17" t="s">
        <v>25</v>
      </c>
      <c r="F17" t="s">
        <v>40</v>
      </c>
      <c r="G17">
        <v>20</v>
      </c>
      <c r="H17">
        <v>27</v>
      </c>
      <c r="I17">
        <v>7.4</v>
      </c>
      <c r="J17">
        <v>8.1999999999999993</v>
      </c>
      <c r="K17">
        <v>7.79</v>
      </c>
      <c r="L17">
        <v>8.25</v>
      </c>
      <c r="M17">
        <v>275</v>
      </c>
      <c r="N17">
        <v>687</v>
      </c>
      <c r="Q17">
        <v>0.32</v>
      </c>
      <c r="R17">
        <v>1.23</v>
      </c>
      <c r="S17">
        <v>26</v>
      </c>
      <c r="T17">
        <v>39</v>
      </c>
      <c r="U17">
        <v>130</v>
      </c>
      <c r="V17">
        <v>280</v>
      </c>
      <c r="W17" t="s">
        <v>38</v>
      </c>
      <c r="X17" t="s">
        <v>38</v>
      </c>
    </row>
    <row r="18" spans="1:24" x14ac:dyDescent="0.3">
      <c r="A18">
        <v>4427</v>
      </c>
      <c r="B18" t="s">
        <v>45</v>
      </c>
      <c r="D18">
        <v>2022</v>
      </c>
      <c r="E18" t="s">
        <v>25</v>
      </c>
      <c r="F18" t="s">
        <v>40</v>
      </c>
      <c r="G18">
        <v>7</v>
      </c>
      <c r="H18">
        <v>23</v>
      </c>
      <c r="I18">
        <v>7</v>
      </c>
      <c r="J18">
        <v>8.6</v>
      </c>
      <c r="K18">
        <v>7.23</v>
      </c>
      <c r="L18">
        <v>8.18</v>
      </c>
      <c r="M18">
        <v>61</v>
      </c>
      <c r="N18">
        <v>1553</v>
      </c>
      <c r="Q18">
        <v>0.37</v>
      </c>
      <c r="R18">
        <v>2.36</v>
      </c>
      <c r="S18">
        <v>4</v>
      </c>
      <c r="T18">
        <v>17</v>
      </c>
      <c r="U18">
        <v>6.8</v>
      </c>
      <c r="V18">
        <v>1600</v>
      </c>
      <c r="W18" t="s">
        <v>38</v>
      </c>
      <c r="X18" t="s">
        <v>38</v>
      </c>
    </row>
    <row r="19" spans="1:24" x14ac:dyDescent="0.3">
      <c r="A19">
        <v>2621</v>
      </c>
      <c r="B19" t="s">
        <v>46</v>
      </c>
      <c r="D19">
        <v>2022</v>
      </c>
      <c r="E19" t="s">
        <v>25</v>
      </c>
      <c r="F19" t="s">
        <v>40</v>
      </c>
      <c r="G19">
        <v>8</v>
      </c>
      <c r="H19">
        <v>16</v>
      </c>
      <c r="I19">
        <v>6.9</v>
      </c>
      <c r="J19">
        <v>8.6</v>
      </c>
      <c r="K19">
        <v>7.54</v>
      </c>
      <c r="L19">
        <v>8.3000000000000007</v>
      </c>
      <c r="M19">
        <v>181</v>
      </c>
      <c r="N19">
        <v>646</v>
      </c>
      <c r="Q19">
        <v>1.01</v>
      </c>
      <c r="R19">
        <v>12.12</v>
      </c>
      <c r="S19">
        <v>2</v>
      </c>
      <c r="T19">
        <v>1600</v>
      </c>
      <c r="U19">
        <v>26</v>
      </c>
      <c r="V19">
        <v>1600</v>
      </c>
      <c r="W19" t="s">
        <v>38</v>
      </c>
      <c r="X19" t="s">
        <v>38</v>
      </c>
    </row>
    <row r="20" spans="1:24" x14ac:dyDescent="0.3">
      <c r="A20">
        <v>3876</v>
      </c>
      <c r="B20" t="s">
        <v>47</v>
      </c>
      <c r="D20">
        <v>2022</v>
      </c>
      <c r="E20" t="s">
        <v>25</v>
      </c>
      <c r="F20" t="s">
        <v>40</v>
      </c>
      <c r="G20">
        <v>7</v>
      </c>
      <c r="H20">
        <v>18</v>
      </c>
      <c r="I20">
        <v>7.5</v>
      </c>
      <c r="J20">
        <v>8.9</v>
      </c>
      <c r="K20">
        <v>7.54</v>
      </c>
      <c r="L20">
        <v>8.48</v>
      </c>
      <c r="M20">
        <v>164</v>
      </c>
      <c r="N20">
        <v>750</v>
      </c>
      <c r="Q20">
        <v>0.89</v>
      </c>
      <c r="R20">
        <v>7.49</v>
      </c>
      <c r="S20">
        <v>2</v>
      </c>
      <c r="T20">
        <v>79</v>
      </c>
      <c r="U20">
        <v>21</v>
      </c>
      <c r="V20">
        <v>1600</v>
      </c>
      <c r="W20" t="s">
        <v>38</v>
      </c>
      <c r="X20" t="s">
        <v>38</v>
      </c>
    </row>
    <row r="21" spans="1:24" x14ac:dyDescent="0.3">
      <c r="A21">
        <v>2622</v>
      </c>
      <c r="B21" t="s">
        <v>48</v>
      </c>
      <c r="D21">
        <v>2022</v>
      </c>
      <c r="E21" t="s">
        <v>25</v>
      </c>
      <c r="F21" t="s">
        <v>40</v>
      </c>
      <c r="G21">
        <v>20</v>
      </c>
      <c r="H21">
        <v>27</v>
      </c>
      <c r="I21">
        <v>6.9</v>
      </c>
      <c r="J21">
        <v>8.1999999999999993</v>
      </c>
      <c r="K21">
        <v>7.77</v>
      </c>
      <c r="L21">
        <v>8.32</v>
      </c>
      <c r="M21">
        <v>310</v>
      </c>
      <c r="N21">
        <v>1079</v>
      </c>
      <c r="Q21">
        <v>0.32</v>
      </c>
      <c r="R21">
        <v>0.85</v>
      </c>
      <c r="S21">
        <v>13</v>
      </c>
      <c r="T21">
        <v>33</v>
      </c>
      <c r="U21">
        <v>40</v>
      </c>
      <c r="V21">
        <v>170</v>
      </c>
      <c r="W21" t="s">
        <v>38</v>
      </c>
      <c r="X21" t="s">
        <v>38</v>
      </c>
    </row>
    <row r="22" spans="1:24" x14ac:dyDescent="0.3">
      <c r="A22">
        <v>2623</v>
      </c>
      <c r="B22" t="s">
        <v>49</v>
      </c>
      <c r="D22">
        <v>2022</v>
      </c>
      <c r="E22" t="s">
        <v>25</v>
      </c>
      <c r="F22" t="s">
        <v>40</v>
      </c>
      <c r="G22">
        <v>19</v>
      </c>
      <c r="H22">
        <v>27</v>
      </c>
      <c r="I22">
        <v>7.4</v>
      </c>
      <c r="J22">
        <v>8.1</v>
      </c>
      <c r="K22">
        <v>7.64</v>
      </c>
      <c r="L22">
        <v>8.2899999999999991</v>
      </c>
      <c r="M22">
        <v>334</v>
      </c>
      <c r="N22">
        <v>1065</v>
      </c>
      <c r="Q22">
        <v>0.32</v>
      </c>
      <c r="R22">
        <v>1</v>
      </c>
      <c r="S22">
        <v>14</v>
      </c>
      <c r="T22">
        <v>39</v>
      </c>
      <c r="U22">
        <v>40</v>
      </c>
      <c r="V22">
        <v>220</v>
      </c>
      <c r="W22" t="s">
        <v>38</v>
      </c>
      <c r="X22" t="s">
        <v>38</v>
      </c>
    </row>
    <row r="23" spans="1:24" x14ac:dyDescent="0.3">
      <c r="A23">
        <v>3877</v>
      </c>
      <c r="B23" t="s">
        <v>50</v>
      </c>
      <c r="D23">
        <v>2022</v>
      </c>
      <c r="E23" t="s">
        <v>25</v>
      </c>
      <c r="F23" t="s">
        <v>40</v>
      </c>
      <c r="G23">
        <v>8</v>
      </c>
      <c r="H23">
        <v>24</v>
      </c>
      <c r="I23">
        <v>6.8</v>
      </c>
      <c r="J23">
        <v>8.5</v>
      </c>
      <c r="K23">
        <v>7.38</v>
      </c>
      <c r="L23">
        <v>8.1300000000000008</v>
      </c>
      <c r="M23">
        <v>49</v>
      </c>
      <c r="N23">
        <v>1612</v>
      </c>
      <c r="Q23">
        <v>0.37</v>
      </c>
      <c r="R23">
        <v>2.82</v>
      </c>
      <c r="S23">
        <v>4</v>
      </c>
      <c r="T23">
        <v>39</v>
      </c>
      <c r="U23">
        <v>14</v>
      </c>
      <c r="V23">
        <v>1600</v>
      </c>
      <c r="W23" t="s">
        <v>38</v>
      </c>
      <c r="X23" t="s">
        <v>38</v>
      </c>
    </row>
    <row r="24" spans="1:24" x14ac:dyDescent="0.3">
      <c r="A24">
        <v>3878</v>
      </c>
      <c r="B24" t="s">
        <v>51</v>
      </c>
      <c r="D24">
        <v>2022</v>
      </c>
      <c r="E24" t="s">
        <v>25</v>
      </c>
      <c r="F24" t="s">
        <v>40</v>
      </c>
      <c r="G24">
        <v>8</v>
      </c>
      <c r="H24">
        <v>23</v>
      </c>
      <c r="I24">
        <v>6.9</v>
      </c>
      <c r="J24">
        <v>8.5</v>
      </c>
      <c r="K24">
        <v>7.37</v>
      </c>
      <c r="L24">
        <v>8.17</v>
      </c>
      <c r="M24">
        <v>59</v>
      </c>
      <c r="N24">
        <v>1602</v>
      </c>
      <c r="Q24">
        <v>0.32</v>
      </c>
      <c r="R24">
        <v>5.57</v>
      </c>
      <c r="S24">
        <v>9</v>
      </c>
      <c r="T24">
        <v>27</v>
      </c>
      <c r="U24">
        <v>17</v>
      </c>
      <c r="V24">
        <v>1600</v>
      </c>
      <c r="W24" t="s">
        <v>38</v>
      </c>
      <c r="X24" t="s">
        <v>38</v>
      </c>
    </row>
    <row r="25" spans="1:24" x14ac:dyDescent="0.3">
      <c r="A25">
        <v>3860</v>
      </c>
      <c r="B25" t="s">
        <v>52</v>
      </c>
      <c r="D25">
        <v>2022</v>
      </c>
      <c r="E25" t="s">
        <v>25</v>
      </c>
      <c r="F25" t="s">
        <v>40</v>
      </c>
      <c r="G25">
        <v>19</v>
      </c>
      <c r="H25">
        <v>26</v>
      </c>
      <c r="I25">
        <v>7.4</v>
      </c>
      <c r="J25">
        <v>8</v>
      </c>
      <c r="K25">
        <v>7.6</v>
      </c>
      <c r="L25">
        <v>8.16</v>
      </c>
      <c r="M25">
        <v>359</v>
      </c>
      <c r="N25">
        <v>918</v>
      </c>
      <c r="Q25">
        <v>0.32</v>
      </c>
      <c r="R25">
        <v>0.91</v>
      </c>
      <c r="S25">
        <v>17</v>
      </c>
      <c r="T25">
        <v>33</v>
      </c>
      <c r="U25">
        <v>46</v>
      </c>
      <c r="V25">
        <v>170</v>
      </c>
      <c r="W25" t="s">
        <v>38</v>
      </c>
    </row>
    <row r="26" spans="1:24" x14ac:dyDescent="0.3">
      <c r="A26">
        <v>1614</v>
      </c>
      <c r="B26" t="s">
        <v>53</v>
      </c>
      <c r="D26">
        <v>2022</v>
      </c>
      <c r="E26" t="s">
        <v>25</v>
      </c>
      <c r="F26" t="s">
        <v>54</v>
      </c>
      <c r="G26">
        <v>17</v>
      </c>
      <c r="H26">
        <v>32</v>
      </c>
      <c r="I26">
        <v>4.7</v>
      </c>
      <c r="J26">
        <v>12.4</v>
      </c>
      <c r="K26">
        <v>6.96</v>
      </c>
      <c r="L26">
        <v>8.25</v>
      </c>
      <c r="M26">
        <v>149</v>
      </c>
      <c r="N26">
        <v>710</v>
      </c>
      <c r="O26">
        <v>1.4</v>
      </c>
      <c r="P26">
        <v>5</v>
      </c>
      <c r="Q26">
        <v>2.88</v>
      </c>
      <c r="R26">
        <v>10.44</v>
      </c>
      <c r="S26">
        <v>3</v>
      </c>
      <c r="T26">
        <v>70</v>
      </c>
      <c r="U26">
        <v>120</v>
      </c>
      <c r="V26">
        <v>350</v>
      </c>
      <c r="W26" t="s">
        <v>38</v>
      </c>
      <c r="X26" t="s">
        <v>38</v>
      </c>
    </row>
    <row r="27" spans="1:24" x14ac:dyDescent="0.3">
      <c r="A27">
        <v>2107</v>
      </c>
      <c r="B27" t="s">
        <v>55</v>
      </c>
      <c r="D27">
        <v>2022</v>
      </c>
      <c r="E27" t="s">
        <v>25</v>
      </c>
      <c r="F27" t="s">
        <v>54</v>
      </c>
      <c r="G27">
        <v>21</v>
      </c>
      <c r="H27">
        <v>31</v>
      </c>
      <c r="I27">
        <v>6</v>
      </c>
      <c r="J27">
        <v>7.5</v>
      </c>
      <c r="K27">
        <v>7.32</v>
      </c>
      <c r="L27">
        <v>8.2200000000000006</v>
      </c>
      <c r="M27">
        <v>215</v>
      </c>
      <c r="N27">
        <v>551</v>
      </c>
      <c r="O27">
        <v>1.1000000000000001</v>
      </c>
      <c r="P27">
        <v>1.8</v>
      </c>
      <c r="Q27">
        <v>0.33</v>
      </c>
      <c r="R27">
        <v>2.25</v>
      </c>
      <c r="S27">
        <v>2</v>
      </c>
      <c r="T27">
        <v>5.6</v>
      </c>
      <c r="U27">
        <v>27</v>
      </c>
      <c r="V27">
        <v>79</v>
      </c>
      <c r="W27" t="s">
        <v>38</v>
      </c>
      <c r="X27" t="s">
        <v>38</v>
      </c>
    </row>
    <row r="28" spans="1:24" x14ac:dyDescent="0.3">
      <c r="A28">
        <v>2108</v>
      </c>
      <c r="B28" t="s">
        <v>56</v>
      </c>
      <c r="D28">
        <v>2022</v>
      </c>
      <c r="E28" t="s">
        <v>25</v>
      </c>
      <c r="F28" t="s">
        <v>54</v>
      </c>
      <c r="G28">
        <v>21</v>
      </c>
      <c r="H28">
        <v>31</v>
      </c>
      <c r="I28">
        <v>6.1</v>
      </c>
      <c r="J28">
        <v>7.8</v>
      </c>
      <c r="K28">
        <v>7.36</v>
      </c>
      <c r="L28">
        <v>8.32</v>
      </c>
      <c r="M28">
        <v>216</v>
      </c>
      <c r="N28">
        <v>566</v>
      </c>
      <c r="O28">
        <v>1.1000000000000001</v>
      </c>
      <c r="P28">
        <v>1.9</v>
      </c>
      <c r="Q28">
        <v>0.34</v>
      </c>
      <c r="R28">
        <v>2.11</v>
      </c>
      <c r="S28">
        <v>2</v>
      </c>
      <c r="T28">
        <v>2</v>
      </c>
      <c r="U28">
        <v>26</v>
      </c>
      <c r="V28">
        <v>63</v>
      </c>
      <c r="W28" t="s">
        <v>38</v>
      </c>
      <c r="X28" t="s">
        <v>38</v>
      </c>
    </row>
    <row r="29" spans="1:24" x14ac:dyDescent="0.3">
      <c r="A29">
        <v>2124</v>
      </c>
      <c r="B29" t="s">
        <v>57</v>
      </c>
      <c r="D29">
        <v>2022</v>
      </c>
      <c r="E29" t="s">
        <v>25</v>
      </c>
      <c r="F29" t="s">
        <v>54</v>
      </c>
      <c r="G29">
        <v>5</v>
      </c>
      <c r="H29">
        <v>32</v>
      </c>
      <c r="I29">
        <v>5</v>
      </c>
      <c r="J29">
        <v>13.6</v>
      </c>
      <c r="K29">
        <v>7.32</v>
      </c>
      <c r="L29">
        <v>8.86</v>
      </c>
      <c r="M29">
        <v>164</v>
      </c>
      <c r="N29">
        <v>1056</v>
      </c>
      <c r="O29">
        <v>1.2</v>
      </c>
      <c r="P29">
        <v>20.399999999999999</v>
      </c>
      <c r="Q29">
        <v>5.2</v>
      </c>
      <c r="R29">
        <v>14.59</v>
      </c>
      <c r="S29">
        <v>3</v>
      </c>
      <c r="T29">
        <v>280</v>
      </c>
      <c r="U29">
        <v>120</v>
      </c>
      <c r="V29">
        <v>1600</v>
      </c>
      <c r="W29" t="s">
        <v>38</v>
      </c>
      <c r="X29" t="s">
        <v>38</v>
      </c>
    </row>
    <row r="30" spans="1:24" x14ac:dyDescent="0.3">
      <c r="A30">
        <v>2125</v>
      </c>
      <c r="B30" t="s">
        <v>58</v>
      </c>
      <c r="D30">
        <v>2022</v>
      </c>
      <c r="E30" t="s">
        <v>25</v>
      </c>
      <c r="F30" t="s">
        <v>54</v>
      </c>
      <c r="G30">
        <v>18</v>
      </c>
      <c r="H30">
        <v>32</v>
      </c>
      <c r="I30">
        <v>5.5</v>
      </c>
      <c r="J30">
        <v>13.3</v>
      </c>
      <c r="K30">
        <v>7.08</v>
      </c>
      <c r="L30">
        <v>8.27</v>
      </c>
      <c r="M30">
        <v>154</v>
      </c>
      <c r="N30">
        <v>1094</v>
      </c>
      <c r="O30">
        <v>1.5</v>
      </c>
      <c r="P30">
        <v>16.8</v>
      </c>
      <c r="Q30">
        <v>3.02</v>
      </c>
      <c r="R30">
        <v>16.28</v>
      </c>
      <c r="S30">
        <v>6</v>
      </c>
      <c r="T30">
        <v>170</v>
      </c>
      <c r="U30">
        <v>150</v>
      </c>
      <c r="V30">
        <v>1600</v>
      </c>
      <c r="W30" t="s">
        <v>38</v>
      </c>
      <c r="X30" t="s">
        <v>38</v>
      </c>
    </row>
    <row r="31" spans="1:24" x14ac:dyDescent="0.3">
      <c r="A31">
        <v>3832</v>
      </c>
      <c r="B31" t="s">
        <v>59</v>
      </c>
      <c r="D31">
        <v>2022</v>
      </c>
      <c r="E31" t="s">
        <v>25</v>
      </c>
      <c r="F31" t="s">
        <v>54</v>
      </c>
      <c r="G31">
        <v>22</v>
      </c>
      <c r="H31">
        <v>30</v>
      </c>
      <c r="I31">
        <v>6.6</v>
      </c>
      <c r="J31">
        <v>7.5</v>
      </c>
      <c r="K31">
        <v>7.28</v>
      </c>
      <c r="L31">
        <v>8.3800000000000008</v>
      </c>
      <c r="M31">
        <v>199</v>
      </c>
      <c r="N31">
        <v>532</v>
      </c>
      <c r="O31">
        <v>1.1000000000000001</v>
      </c>
      <c r="P31">
        <v>2.1</v>
      </c>
      <c r="Q31">
        <v>0.32</v>
      </c>
      <c r="R31">
        <v>0.53</v>
      </c>
      <c r="S31" t="s">
        <v>38</v>
      </c>
      <c r="T31" t="s">
        <v>38</v>
      </c>
      <c r="U31">
        <v>22</v>
      </c>
      <c r="V31">
        <v>84</v>
      </c>
      <c r="W31" t="s">
        <v>38</v>
      </c>
      <c r="X31" t="s">
        <v>38</v>
      </c>
    </row>
    <row r="32" spans="1:24" x14ac:dyDescent="0.3">
      <c r="A32">
        <v>30080</v>
      </c>
      <c r="B32" t="s">
        <v>60</v>
      </c>
      <c r="D32">
        <v>2022</v>
      </c>
      <c r="E32" t="s">
        <v>25</v>
      </c>
      <c r="F32" t="s">
        <v>54</v>
      </c>
      <c r="G32">
        <v>21.4</v>
      </c>
      <c r="H32">
        <v>32.6</v>
      </c>
      <c r="I32">
        <v>7.9</v>
      </c>
      <c r="J32">
        <v>10.199999999999999</v>
      </c>
      <c r="K32">
        <v>7.83</v>
      </c>
      <c r="L32">
        <v>8.14</v>
      </c>
      <c r="M32">
        <v>285</v>
      </c>
      <c r="N32">
        <v>499</v>
      </c>
      <c r="O32">
        <v>1.6</v>
      </c>
      <c r="P32">
        <v>3.3</v>
      </c>
      <c r="Q32">
        <v>0.32</v>
      </c>
      <c r="R32">
        <v>1.9</v>
      </c>
      <c r="S32">
        <v>2000</v>
      </c>
      <c r="T32">
        <v>22000</v>
      </c>
      <c r="U32">
        <v>4500</v>
      </c>
      <c r="V32">
        <v>790000</v>
      </c>
      <c r="W32" t="s">
        <v>38</v>
      </c>
      <c r="X32" t="s">
        <v>38</v>
      </c>
    </row>
    <row r="33" spans="1:24" x14ac:dyDescent="0.3">
      <c r="A33">
        <v>2953</v>
      </c>
      <c r="B33" t="s">
        <v>61</v>
      </c>
      <c r="D33">
        <v>2022</v>
      </c>
      <c r="E33" t="s">
        <v>25</v>
      </c>
      <c r="F33" t="s">
        <v>62</v>
      </c>
      <c r="G33">
        <v>21</v>
      </c>
      <c r="H33">
        <v>34</v>
      </c>
      <c r="I33">
        <v>3.7</v>
      </c>
      <c r="J33">
        <v>5.6</v>
      </c>
      <c r="K33">
        <v>7.98</v>
      </c>
      <c r="L33">
        <v>8.4600000000000009</v>
      </c>
      <c r="M33">
        <v>390</v>
      </c>
      <c r="N33">
        <v>808</v>
      </c>
      <c r="O33">
        <v>1.2</v>
      </c>
      <c r="P33">
        <v>2.2000000000000002</v>
      </c>
      <c r="Q33">
        <v>0.83</v>
      </c>
      <c r="R33">
        <v>2.62</v>
      </c>
      <c r="S33">
        <v>33</v>
      </c>
      <c r="T33">
        <v>84</v>
      </c>
      <c r="U33">
        <v>75</v>
      </c>
      <c r="V33">
        <v>220</v>
      </c>
      <c r="W33">
        <v>23</v>
      </c>
      <c r="X33">
        <v>38</v>
      </c>
    </row>
    <row r="34" spans="1:24" x14ac:dyDescent="0.3">
      <c r="A34">
        <v>2956</v>
      </c>
      <c r="B34" t="s">
        <v>63</v>
      </c>
      <c r="D34">
        <v>2022</v>
      </c>
      <c r="E34" t="s">
        <v>25</v>
      </c>
      <c r="F34" t="s">
        <v>62</v>
      </c>
      <c r="G34">
        <v>22</v>
      </c>
      <c r="H34">
        <v>34</v>
      </c>
      <c r="I34">
        <v>3.7</v>
      </c>
      <c r="J34">
        <v>5.0999999999999996</v>
      </c>
      <c r="K34">
        <v>8.15</v>
      </c>
      <c r="L34">
        <v>8.56</v>
      </c>
      <c r="M34">
        <v>485</v>
      </c>
      <c r="N34">
        <v>1445</v>
      </c>
      <c r="O34">
        <v>1.2</v>
      </c>
      <c r="P34">
        <v>2.1</v>
      </c>
      <c r="Q34">
        <v>1.71</v>
      </c>
      <c r="R34">
        <v>2.97</v>
      </c>
      <c r="S34">
        <v>23</v>
      </c>
      <c r="T34">
        <v>84</v>
      </c>
      <c r="U34">
        <v>64</v>
      </c>
      <c r="V34">
        <v>210</v>
      </c>
      <c r="W34">
        <v>14</v>
      </c>
      <c r="X34">
        <v>25</v>
      </c>
    </row>
    <row r="35" spans="1:24" x14ac:dyDescent="0.3">
      <c r="A35">
        <v>2951</v>
      </c>
      <c r="B35" t="s">
        <v>64</v>
      </c>
      <c r="D35">
        <v>2022</v>
      </c>
      <c r="E35" t="s">
        <v>25</v>
      </c>
      <c r="F35" t="s">
        <v>62</v>
      </c>
      <c r="G35">
        <v>17</v>
      </c>
      <c r="H35">
        <v>32</v>
      </c>
      <c r="I35">
        <v>3.7</v>
      </c>
      <c r="J35">
        <v>6.2</v>
      </c>
      <c r="K35">
        <v>8.1</v>
      </c>
      <c r="L35">
        <v>8.5500000000000007</v>
      </c>
      <c r="M35">
        <v>525</v>
      </c>
      <c r="N35">
        <v>819</v>
      </c>
      <c r="O35">
        <v>1.1000000000000001</v>
      </c>
      <c r="P35">
        <v>2.1</v>
      </c>
      <c r="Q35">
        <v>0.84</v>
      </c>
      <c r="R35">
        <v>3.43</v>
      </c>
      <c r="S35">
        <v>49</v>
      </c>
      <c r="T35">
        <v>110</v>
      </c>
      <c r="U35">
        <v>110</v>
      </c>
      <c r="V35">
        <v>280</v>
      </c>
      <c r="W35">
        <v>17</v>
      </c>
      <c r="X35">
        <v>32</v>
      </c>
    </row>
    <row r="36" spans="1:24" x14ac:dyDescent="0.3">
      <c r="A36">
        <v>2952</v>
      </c>
      <c r="B36" t="s">
        <v>65</v>
      </c>
      <c r="D36">
        <v>2022</v>
      </c>
      <c r="E36" t="s">
        <v>25</v>
      </c>
      <c r="F36" t="s">
        <v>62</v>
      </c>
      <c r="G36">
        <v>18</v>
      </c>
      <c r="H36">
        <v>31</v>
      </c>
      <c r="I36">
        <v>1.6</v>
      </c>
      <c r="J36">
        <v>2.9</v>
      </c>
      <c r="K36">
        <v>7.97</v>
      </c>
      <c r="L36">
        <v>8.82</v>
      </c>
      <c r="M36">
        <v>1918</v>
      </c>
      <c r="N36">
        <v>3040</v>
      </c>
      <c r="O36">
        <v>3.3</v>
      </c>
      <c r="P36">
        <v>5.4</v>
      </c>
      <c r="Q36">
        <v>2.58</v>
      </c>
      <c r="R36">
        <v>6.56</v>
      </c>
      <c r="S36">
        <v>130</v>
      </c>
      <c r="T36">
        <v>240</v>
      </c>
      <c r="U36">
        <v>430</v>
      </c>
      <c r="V36">
        <v>540</v>
      </c>
    </row>
    <row r="37" spans="1:24" x14ac:dyDescent="0.3">
      <c r="A37">
        <v>2955</v>
      </c>
      <c r="B37" t="s">
        <v>66</v>
      </c>
      <c r="D37">
        <v>2022</v>
      </c>
      <c r="E37" t="s">
        <v>25</v>
      </c>
      <c r="F37" t="s">
        <v>62</v>
      </c>
      <c r="G37">
        <v>17</v>
      </c>
      <c r="H37">
        <v>31</v>
      </c>
      <c r="I37">
        <v>5</v>
      </c>
      <c r="J37">
        <v>6.6</v>
      </c>
      <c r="K37">
        <v>7.1</v>
      </c>
      <c r="L37">
        <v>8.3800000000000008</v>
      </c>
      <c r="M37">
        <v>330</v>
      </c>
      <c r="N37">
        <v>682</v>
      </c>
      <c r="O37">
        <v>1.1000000000000001</v>
      </c>
      <c r="P37">
        <v>3.6</v>
      </c>
      <c r="Q37">
        <v>1.21</v>
      </c>
      <c r="R37">
        <v>3.42</v>
      </c>
      <c r="S37">
        <v>90</v>
      </c>
      <c r="T37">
        <v>140</v>
      </c>
      <c r="U37">
        <v>210</v>
      </c>
      <c r="V37">
        <v>280</v>
      </c>
      <c r="W37">
        <v>21</v>
      </c>
      <c r="X37">
        <v>29</v>
      </c>
    </row>
    <row r="38" spans="1:24" x14ac:dyDescent="0.3">
      <c r="A38">
        <v>3309</v>
      </c>
      <c r="B38" t="s">
        <v>67</v>
      </c>
      <c r="D38">
        <v>2022</v>
      </c>
      <c r="E38" t="s">
        <v>25</v>
      </c>
      <c r="F38" t="s">
        <v>54</v>
      </c>
      <c r="G38">
        <v>22</v>
      </c>
      <c r="H38">
        <v>30</v>
      </c>
      <c r="I38">
        <v>6.4</v>
      </c>
      <c r="J38">
        <v>7.7</v>
      </c>
      <c r="K38">
        <v>7.26</v>
      </c>
      <c r="L38">
        <v>8.0500000000000007</v>
      </c>
      <c r="M38">
        <v>192</v>
      </c>
      <c r="N38">
        <v>2057</v>
      </c>
      <c r="O38">
        <v>2</v>
      </c>
      <c r="P38">
        <v>6</v>
      </c>
      <c r="Q38">
        <v>0.66</v>
      </c>
      <c r="R38">
        <v>2.62</v>
      </c>
      <c r="S38">
        <v>6</v>
      </c>
      <c r="T38">
        <v>920</v>
      </c>
      <c r="U38">
        <v>48</v>
      </c>
      <c r="V38">
        <v>1600</v>
      </c>
      <c r="W38">
        <v>2</v>
      </c>
      <c r="X38">
        <v>2</v>
      </c>
    </row>
    <row r="39" spans="1:24" x14ac:dyDescent="0.3">
      <c r="A39">
        <v>4349</v>
      </c>
      <c r="B39" t="s">
        <v>68</v>
      </c>
      <c r="D39">
        <v>2022</v>
      </c>
      <c r="E39" t="s">
        <v>69</v>
      </c>
      <c r="F39" t="s">
        <v>70</v>
      </c>
      <c r="G39">
        <v>21</v>
      </c>
      <c r="H39">
        <v>30</v>
      </c>
      <c r="I39">
        <v>5.2</v>
      </c>
      <c r="J39">
        <v>7.2</v>
      </c>
      <c r="K39">
        <v>7.4</v>
      </c>
      <c r="L39">
        <v>8.4</v>
      </c>
      <c r="M39">
        <v>13800</v>
      </c>
      <c r="N39">
        <v>57300</v>
      </c>
      <c r="O39">
        <v>1.2</v>
      </c>
      <c r="P39">
        <v>2.5</v>
      </c>
      <c r="Q39">
        <v>0.32</v>
      </c>
      <c r="R39">
        <v>1.38</v>
      </c>
      <c r="S39">
        <v>3</v>
      </c>
      <c r="T39">
        <v>7</v>
      </c>
      <c r="U39">
        <v>48</v>
      </c>
      <c r="V39">
        <v>120</v>
      </c>
      <c r="W39" t="s">
        <v>71</v>
      </c>
      <c r="X39" t="s">
        <v>71</v>
      </c>
    </row>
    <row r="40" spans="1:24" x14ac:dyDescent="0.3">
      <c r="A40">
        <v>4352</v>
      </c>
      <c r="B40" t="s">
        <v>72</v>
      </c>
      <c r="D40">
        <v>2022</v>
      </c>
      <c r="E40" t="s">
        <v>69</v>
      </c>
      <c r="F40" t="s">
        <v>70</v>
      </c>
      <c r="G40">
        <v>25</v>
      </c>
      <c r="H40">
        <v>28</v>
      </c>
      <c r="I40">
        <v>5.2</v>
      </c>
      <c r="J40">
        <v>6.6</v>
      </c>
      <c r="K40">
        <v>7.7</v>
      </c>
      <c r="L40">
        <v>8.5</v>
      </c>
      <c r="M40">
        <v>32200</v>
      </c>
      <c r="N40">
        <v>56400</v>
      </c>
      <c r="O40">
        <v>1.4</v>
      </c>
      <c r="P40">
        <v>2.8</v>
      </c>
      <c r="Q40">
        <v>0.32</v>
      </c>
      <c r="R40">
        <v>0.88</v>
      </c>
      <c r="S40">
        <v>3</v>
      </c>
      <c r="T40">
        <v>11</v>
      </c>
      <c r="U40">
        <v>39</v>
      </c>
      <c r="V40">
        <v>210</v>
      </c>
      <c r="W40" t="s">
        <v>71</v>
      </c>
      <c r="X40" t="s">
        <v>71</v>
      </c>
    </row>
    <row r="41" spans="1:24" x14ac:dyDescent="0.3">
      <c r="A41">
        <v>4357</v>
      </c>
      <c r="B41" t="s">
        <v>73</v>
      </c>
      <c r="C41" t="s">
        <v>74</v>
      </c>
      <c r="D41">
        <v>2022</v>
      </c>
      <c r="E41" t="s">
        <v>75</v>
      </c>
      <c r="F41" t="s">
        <v>70</v>
      </c>
      <c r="G41">
        <v>25</v>
      </c>
      <c r="H41">
        <v>29</v>
      </c>
      <c r="I41">
        <v>4.8</v>
      </c>
      <c r="J41">
        <v>7</v>
      </c>
      <c r="K41">
        <v>7.7</v>
      </c>
      <c r="L41">
        <v>8.5</v>
      </c>
      <c r="M41">
        <v>31700</v>
      </c>
      <c r="N41">
        <v>55700</v>
      </c>
      <c r="O41">
        <v>1.2</v>
      </c>
      <c r="P41">
        <v>2.9</v>
      </c>
      <c r="Q41">
        <v>0.32</v>
      </c>
      <c r="R41">
        <v>1.1299999999999999</v>
      </c>
      <c r="S41">
        <v>3</v>
      </c>
      <c r="T41">
        <v>14</v>
      </c>
      <c r="U41">
        <v>39</v>
      </c>
      <c r="V41">
        <v>150</v>
      </c>
      <c r="W41" t="s">
        <v>71</v>
      </c>
      <c r="X41" t="s">
        <v>71</v>
      </c>
    </row>
    <row r="42" spans="1:24" x14ac:dyDescent="0.3">
      <c r="A42">
        <v>4361</v>
      </c>
      <c r="B42" t="s">
        <v>76</v>
      </c>
      <c r="C42" t="s">
        <v>77</v>
      </c>
      <c r="D42">
        <v>2022</v>
      </c>
      <c r="E42" t="s">
        <v>75</v>
      </c>
      <c r="F42" t="s">
        <v>70</v>
      </c>
      <c r="G42">
        <v>25</v>
      </c>
      <c r="H42">
        <v>28</v>
      </c>
      <c r="I42">
        <v>4.5</v>
      </c>
      <c r="J42">
        <v>7.9</v>
      </c>
      <c r="K42">
        <v>7.8</v>
      </c>
      <c r="L42">
        <v>8.5</v>
      </c>
      <c r="M42">
        <v>4800</v>
      </c>
      <c r="N42">
        <v>51400</v>
      </c>
      <c r="O42">
        <v>2.2000000000000002</v>
      </c>
      <c r="P42">
        <v>2.8</v>
      </c>
      <c r="Q42">
        <v>0.42</v>
      </c>
      <c r="R42">
        <v>1.32</v>
      </c>
      <c r="S42">
        <v>3</v>
      </c>
      <c r="T42">
        <v>20</v>
      </c>
      <c r="U42">
        <v>48</v>
      </c>
      <c r="V42">
        <v>150</v>
      </c>
      <c r="W42" t="s">
        <v>71</v>
      </c>
      <c r="X42" t="s">
        <v>71</v>
      </c>
    </row>
    <row r="43" spans="1:24" x14ac:dyDescent="0.3">
      <c r="A43">
        <v>4362</v>
      </c>
      <c r="B43" t="s">
        <v>78</v>
      </c>
      <c r="D43">
        <v>2022</v>
      </c>
      <c r="E43" t="s">
        <v>79</v>
      </c>
      <c r="F43" t="s">
        <v>70</v>
      </c>
      <c r="G43">
        <v>25</v>
      </c>
      <c r="H43">
        <v>27</v>
      </c>
      <c r="I43">
        <v>5.3</v>
      </c>
      <c r="J43">
        <v>8</v>
      </c>
      <c r="K43">
        <v>7.4</v>
      </c>
      <c r="L43">
        <v>8.4</v>
      </c>
      <c r="M43">
        <v>861</v>
      </c>
      <c r="N43">
        <v>50300</v>
      </c>
      <c r="O43">
        <v>2.2000000000000002</v>
      </c>
      <c r="P43">
        <v>3.9</v>
      </c>
      <c r="Q43">
        <v>0.82</v>
      </c>
      <c r="R43">
        <v>3.32</v>
      </c>
      <c r="S43">
        <v>4</v>
      </c>
      <c r="T43">
        <v>23</v>
      </c>
      <c r="U43">
        <v>75</v>
      </c>
      <c r="V43">
        <v>460</v>
      </c>
      <c r="W43" t="s">
        <v>71</v>
      </c>
      <c r="X43" t="s">
        <v>71</v>
      </c>
    </row>
    <row r="44" spans="1:24" x14ac:dyDescent="0.3">
      <c r="A44">
        <v>4363</v>
      </c>
      <c r="B44" t="s">
        <v>80</v>
      </c>
      <c r="D44">
        <v>2022</v>
      </c>
      <c r="E44" t="s">
        <v>79</v>
      </c>
      <c r="F44" t="s">
        <v>70</v>
      </c>
      <c r="G44">
        <v>24</v>
      </c>
      <c r="H44">
        <v>26</v>
      </c>
      <c r="I44">
        <v>5.7</v>
      </c>
      <c r="J44">
        <v>7.5</v>
      </c>
      <c r="K44">
        <v>7.1</v>
      </c>
      <c r="L44">
        <v>8.1999999999999993</v>
      </c>
      <c r="M44">
        <v>481</v>
      </c>
      <c r="N44">
        <v>47000</v>
      </c>
      <c r="O44">
        <v>2.2000000000000002</v>
      </c>
      <c r="P44">
        <v>2.8</v>
      </c>
      <c r="Q44">
        <v>0.9</v>
      </c>
      <c r="R44">
        <v>4.2699999999999996</v>
      </c>
      <c r="S44">
        <v>3</v>
      </c>
      <c r="T44">
        <v>21</v>
      </c>
      <c r="U44">
        <v>64</v>
      </c>
      <c r="V44">
        <v>460</v>
      </c>
      <c r="W44" t="s">
        <v>71</v>
      </c>
      <c r="X44" t="s">
        <v>71</v>
      </c>
    </row>
    <row r="45" spans="1:24" x14ac:dyDescent="0.3">
      <c r="A45">
        <v>4371</v>
      </c>
      <c r="B45" t="s">
        <v>81</v>
      </c>
      <c r="D45">
        <v>2022</v>
      </c>
      <c r="E45" t="s">
        <v>69</v>
      </c>
      <c r="F45" t="s">
        <v>70</v>
      </c>
      <c r="G45">
        <v>22</v>
      </c>
      <c r="H45">
        <v>30</v>
      </c>
      <c r="I45">
        <v>5.0999999999999996</v>
      </c>
      <c r="J45">
        <v>8</v>
      </c>
      <c r="K45">
        <v>7.8</v>
      </c>
      <c r="L45">
        <v>8.4</v>
      </c>
      <c r="M45">
        <v>7300</v>
      </c>
      <c r="N45">
        <v>51500</v>
      </c>
      <c r="O45">
        <v>1.3</v>
      </c>
      <c r="P45">
        <v>2</v>
      </c>
      <c r="Q45">
        <v>0.38</v>
      </c>
      <c r="R45">
        <v>1.1499999999999999</v>
      </c>
      <c r="S45">
        <v>3</v>
      </c>
      <c r="T45">
        <v>14</v>
      </c>
      <c r="U45">
        <v>49</v>
      </c>
      <c r="V45">
        <v>120</v>
      </c>
      <c r="W45" t="s">
        <v>71</v>
      </c>
      <c r="X45" t="s">
        <v>71</v>
      </c>
    </row>
    <row r="46" spans="1:24" x14ac:dyDescent="0.3">
      <c r="A46">
        <v>4378</v>
      </c>
      <c r="B46" t="s">
        <v>82</v>
      </c>
      <c r="D46">
        <v>2022</v>
      </c>
      <c r="E46" t="s">
        <v>75</v>
      </c>
      <c r="F46" t="s">
        <v>70</v>
      </c>
      <c r="G46">
        <v>25</v>
      </c>
      <c r="H46">
        <v>27</v>
      </c>
      <c r="I46">
        <v>5.5</v>
      </c>
      <c r="J46">
        <v>6.8</v>
      </c>
      <c r="K46">
        <v>7.5</v>
      </c>
      <c r="L46">
        <v>8</v>
      </c>
      <c r="M46">
        <v>38200</v>
      </c>
      <c r="N46">
        <v>58500</v>
      </c>
      <c r="O46">
        <v>2.4</v>
      </c>
      <c r="P46">
        <v>2.8</v>
      </c>
      <c r="Q46">
        <v>0.83</v>
      </c>
      <c r="R46">
        <v>1.82</v>
      </c>
      <c r="S46">
        <v>3</v>
      </c>
      <c r="T46">
        <v>11</v>
      </c>
      <c r="U46">
        <v>75</v>
      </c>
      <c r="V46">
        <v>252</v>
      </c>
      <c r="W46">
        <v>2</v>
      </c>
      <c r="X46">
        <v>4</v>
      </c>
    </row>
    <row r="47" spans="1:24" x14ac:dyDescent="0.3">
      <c r="A47">
        <v>4383</v>
      </c>
      <c r="B47" t="s">
        <v>83</v>
      </c>
      <c r="D47">
        <v>2022</v>
      </c>
      <c r="E47" t="s">
        <v>69</v>
      </c>
      <c r="F47" t="s">
        <v>70</v>
      </c>
      <c r="G47">
        <v>22</v>
      </c>
      <c r="H47">
        <v>24</v>
      </c>
      <c r="I47">
        <v>4.5999999999999996</v>
      </c>
      <c r="J47">
        <v>6.7</v>
      </c>
      <c r="K47">
        <v>7.3</v>
      </c>
      <c r="L47">
        <v>8</v>
      </c>
      <c r="M47">
        <v>26000</v>
      </c>
      <c r="N47">
        <v>56200</v>
      </c>
      <c r="O47">
        <v>2.2999999999999998</v>
      </c>
      <c r="P47">
        <v>2.9</v>
      </c>
      <c r="Q47">
        <v>0.74</v>
      </c>
      <c r="R47">
        <v>1.93</v>
      </c>
      <c r="S47">
        <v>3</v>
      </c>
      <c r="T47">
        <v>13</v>
      </c>
      <c r="U47">
        <v>64</v>
      </c>
      <c r="V47">
        <v>272</v>
      </c>
      <c r="W47">
        <v>2</v>
      </c>
      <c r="X47">
        <v>5</v>
      </c>
    </row>
    <row r="48" spans="1:24" x14ac:dyDescent="0.3">
      <c r="A48">
        <v>4385</v>
      </c>
      <c r="B48" t="s">
        <v>84</v>
      </c>
      <c r="D48">
        <v>2022</v>
      </c>
      <c r="E48" t="s">
        <v>75</v>
      </c>
      <c r="F48" t="s">
        <v>70</v>
      </c>
      <c r="G48">
        <v>22</v>
      </c>
      <c r="H48">
        <v>26</v>
      </c>
      <c r="I48">
        <v>5.0999999999999996</v>
      </c>
      <c r="J48">
        <v>6.6</v>
      </c>
      <c r="K48">
        <v>7.5</v>
      </c>
      <c r="L48">
        <v>8.3000000000000007</v>
      </c>
      <c r="M48">
        <v>33120</v>
      </c>
      <c r="N48">
        <v>57680</v>
      </c>
      <c r="O48">
        <v>2.2999999999999998</v>
      </c>
      <c r="P48">
        <v>2.8</v>
      </c>
      <c r="Q48">
        <v>0.72</v>
      </c>
      <c r="R48">
        <v>1.81</v>
      </c>
      <c r="S48">
        <v>3</v>
      </c>
      <c r="T48">
        <v>18</v>
      </c>
      <c r="U48">
        <v>64</v>
      </c>
      <c r="V48">
        <v>354</v>
      </c>
      <c r="W48">
        <v>2</v>
      </c>
      <c r="X48">
        <v>6</v>
      </c>
    </row>
    <row r="49" spans="1:24" x14ac:dyDescent="0.3">
      <c r="A49">
        <v>4386</v>
      </c>
      <c r="B49" t="s">
        <v>85</v>
      </c>
      <c r="C49" t="s">
        <v>86</v>
      </c>
      <c r="D49">
        <v>2022</v>
      </c>
      <c r="E49" t="s">
        <v>75</v>
      </c>
      <c r="F49" t="s">
        <v>70</v>
      </c>
      <c r="G49">
        <v>22</v>
      </c>
      <c r="H49">
        <v>25</v>
      </c>
      <c r="I49">
        <v>5.4</v>
      </c>
      <c r="J49">
        <v>6.7</v>
      </c>
      <c r="K49">
        <v>7.6</v>
      </c>
      <c r="L49">
        <v>8.1</v>
      </c>
      <c r="M49">
        <v>32900</v>
      </c>
      <c r="N49">
        <v>56900</v>
      </c>
      <c r="O49">
        <v>2.6</v>
      </c>
      <c r="P49">
        <v>2.9</v>
      </c>
      <c r="Q49">
        <v>0.72</v>
      </c>
      <c r="R49">
        <v>1.66</v>
      </c>
      <c r="S49">
        <v>3</v>
      </c>
      <c r="T49">
        <v>10</v>
      </c>
      <c r="U49">
        <v>75</v>
      </c>
      <c r="V49">
        <v>210</v>
      </c>
      <c r="W49">
        <v>2</v>
      </c>
      <c r="X49">
        <v>5</v>
      </c>
    </row>
    <row r="50" spans="1:24" x14ac:dyDescent="0.3">
      <c r="A50">
        <v>4387</v>
      </c>
      <c r="B50" t="s">
        <v>87</v>
      </c>
      <c r="D50">
        <v>2022</v>
      </c>
      <c r="E50" t="s">
        <v>69</v>
      </c>
      <c r="F50" t="s">
        <v>70</v>
      </c>
      <c r="G50">
        <v>19</v>
      </c>
      <c r="H50">
        <v>21</v>
      </c>
      <c r="I50">
        <v>5.6</v>
      </c>
      <c r="J50">
        <v>6.7</v>
      </c>
      <c r="K50">
        <v>7.2</v>
      </c>
      <c r="L50">
        <v>8</v>
      </c>
      <c r="M50">
        <v>31200</v>
      </c>
      <c r="N50">
        <v>52900</v>
      </c>
      <c r="O50">
        <v>2.4</v>
      </c>
      <c r="P50">
        <v>2.9</v>
      </c>
      <c r="Q50">
        <v>0.42</v>
      </c>
      <c r="R50">
        <v>1.53</v>
      </c>
      <c r="S50">
        <v>3</v>
      </c>
      <c r="T50">
        <v>11</v>
      </c>
      <c r="U50">
        <v>64</v>
      </c>
      <c r="V50">
        <v>243</v>
      </c>
      <c r="W50">
        <v>2</v>
      </c>
      <c r="X50">
        <v>4</v>
      </c>
    </row>
    <row r="51" spans="1:24" x14ac:dyDescent="0.3">
      <c r="A51">
        <v>4013</v>
      </c>
      <c r="B51" t="s">
        <v>88</v>
      </c>
      <c r="D51">
        <v>2022</v>
      </c>
      <c r="E51" t="s">
        <v>75</v>
      </c>
      <c r="F51" t="s">
        <v>89</v>
      </c>
      <c r="G51">
        <v>28</v>
      </c>
      <c r="H51">
        <v>30</v>
      </c>
      <c r="I51">
        <v>5.9</v>
      </c>
      <c r="J51">
        <v>7.5</v>
      </c>
      <c r="K51">
        <v>7.2</v>
      </c>
      <c r="L51">
        <v>8.3000000000000007</v>
      </c>
      <c r="M51">
        <v>30500</v>
      </c>
      <c r="N51">
        <v>52560</v>
      </c>
      <c r="O51">
        <v>1</v>
      </c>
      <c r="P51">
        <v>2.2999999999999998</v>
      </c>
      <c r="Q51">
        <v>0.32</v>
      </c>
      <c r="R51">
        <v>2.27</v>
      </c>
      <c r="S51">
        <v>13</v>
      </c>
      <c r="T51">
        <v>350</v>
      </c>
      <c r="U51">
        <v>23</v>
      </c>
      <c r="V51">
        <v>540</v>
      </c>
      <c r="W51">
        <v>5</v>
      </c>
      <c r="X51">
        <v>170</v>
      </c>
    </row>
    <row r="52" spans="1:24" x14ac:dyDescent="0.3">
      <c r="A52">
        <v>4014</v>
      </c>
      <c r="B52" t="s">
        <v>90</v>
      </c>
      <c r="D52">
        <v>2022</v>
      </c>
      <c r="E52" t="s">
        <v>75</v>
      </c>
      <c r="F52" t="s">
        <v>89</v>
      </c>
      <c r="G52">
        <v>28</v>
      </c>
      <c r="H52">
        <v>32</v>
      </c>
      <c r="I52">
        <v>5.9</v>
      </c>
      <c r="J52">
        <v>7.6</v>
      </c>
      <c r="K52">
        <v>7.7</v>
      </c>
      <c r="L52">
        <v>8.5</v>
      </c>
      <c r="M52">
        <v>8856</v>
      </c>
      <c r="N52">
        <v>55850</v>
      </c>
      <c r="O52">
        <v>1</v>
      </c>
      <c r="P52">
        <v>2</v>
      </c>
      <c r="Q52">
        <v>0.32</v>
      </c>
      <c r="R52">
        <v>0.38</v>
      </c>
      <c r="S52">
        <v>79</v>
      </c>
      <c r="T52">
        <v>350</v>
      </c>
      <c r="U52">
        <v>110</v>
      </c>
      <c r="V52">
        <v>540</v>
      </c>
      <c r="W52">
        <v>23</v>
      </c>
      <c r="X52">
        <v>94</v>
      </c>
    </row>
    <row r="53" spans="1:24" x14ac:dyDescent="0.3">
      <c r="A53">
        <v>4015</v>
      </c>
      <c r="B53" t="s">
        <v>91</v>
      </c>
      <c r="D53">
        <v>2022</v>
      </c>
      <c r="E53" t="s">
        <v>75</v>
      </c>
      <c r="F53" t="s">
        <v>89</v>
      </c>
      <c r="G53">
        <v>27</v>
      </c>
      <c r="H53">
        <v>30</v>
      </c>
      <c r="I53">
        <v>5.7</v>
      </c>
      <c r="J53">
        <v>7.5</v>
      </c>
      <c r="K53">
        <v>7.4</v>
      </c>
      <c r="L53">
        <v>8.4</v>
      </c>
      <c r="M53">
        <v>29950</v>
      </c>
      <c r="N53">
        <v>53320</v>
      </c>
      <c r="O53">
        <v>1</v>
      </c>
      <c r="P53">
        <v>1.9</v>
      </c>
      <c r="Q53">
        <v>0.32</v>
      </c>
      <c r="R53">
        <v>0.42</v>
      </c>
      <c r="S53">
        <v>49</v>
      </c>
      <c r="T53">
        <v>350</v>
      </c>
      <c r="U53">
        <v>79</v>
      </c>
      <c r="V53">
        <v>540</v>
      </c>
      <c r="W53">
        <v>4</v>
      </c>
      <c r="X53">
        <v>94</v>
      </c>
    </row>
    <row r="54" spans="1:24" x14ac:dyDescent="0.3">
      <c r="A54">
        <v>4016</v>
      </c>
      <c r="B54" t="s">
        <v>92</v>
      </c>
      <c r="D54">
        <v>2022</v>
      </c>
      <c r="E54" t="s">
        <v>75</v>
      </c>
      <c r="F54" t="s">
        <v>89</v>
      </c>
      <c r="G54">
        <v>28</v>
      </c>
      <c r="H54">
        <v>30</v>
      </c>
      <c r="I54">
        <v>5.5</v>
      </c>
      <c r="J54">
        <v>7.3</v>
      </c>
      <c r="K54">
        <v>7.3</v>
      </c>
      <c r="L54">
        <v>8.6999999999999993</v>
      </c>
      <c r="M54">
        <v>15820</v>
      </c>
      <c r="N54">
        <v>56510</v>
      </c>
      <c r="O54">
        <v>1</v>
      </c>
      <c r="P54">
        <v>2.1</v>
      </c>
      <c r="Q54">
        <v>0.32</v>
      </c>
      <c r="R54">
        <v>0.32</v>
      </c>
      <c r="S54">
        <v>13</v>
      </c>
      <c r="T54">
        <v>220</v>
      </c>
      <c r="U54">
        <v>23</v>
      </c>
      <c r="V54">
        <v>280</v>
      </c>
      <c r="W54">
        <v>8</v>
      </c>
      <c r="X54">
        <v>110</v>
      </c>
    </row>
    <row r="55" spans="1:24" x14ac:dyDescent="0.3">
      <c r="A55">
        <v>3051</v>
      </c>
      <c r="B55" t="s">
        <v>93</v>
      </c>
      <c r="D55">
        <v>2023</v>
      </c>
      <c r="E55" t="s">
        <v>94</v>
      </c>
      <c r="F55" t="s">
        <v>70</v>
      </c>
      <c r="G55">
        <v>24</v>
      </c>
      <c r="H55">
        <v>25</v>
      </c>
      <c r="I55">
        <v>1.6</v>
      </c>
      <c r="J55">
        <v>3.1</v>
      </c>
      <c r="K55">
        <v>6.7</v>
      </c>
      <c r="L55">
        <v>8</v>
      </c>
      <c r="M55">
        <v>810</v>
      </c>
      <c r="N55">
        <v>1100</v>
      </c>
      <c r="O55">
        <v>9</v>
      </c>
      <c r="P55">
        <v>23</v>
      </c>
      <c r="Q55">
        <v>2.7</v>
      </c>
      <c r="R55">
        <v>7.9</v>
      </c>
      <c r="S55">
        <v>120</v>
      </c>
      <c r="T55">
        <v>260</v>
      </c>
      <c r="U55">
        <v>1100</v>
      </c>
      <c r="V55">
        <v>4900</v>
      </c>
      <c r="W55">
        <v>11</v>
      </c>
      <c r="X55">
        <v>11</v>
      </c>
    </row>
    <row r="56" spans="1:24" x14ac:dyDescent="0.3">
      <c r="A56">
        <v>4356</v>
      </c>
      <c r="B56" t="s">
        <v>95</v>
      </c>
      <c r="D56">
        <v>2023</v>
      </c>
      <c r="E56" t="s">
        <v>94</v>
      </c>
      <c r="F56" t="s">
        <v>70</v>
      </c>
      <c r="G56">
        <v>25</v>
      </c>
      <c r="H56">
        <v>30</v>
      </c>
      <c r="I56">
        <v>4.5</v>
      </c>
      <c r="J56">
        <v>6.5</v>
      </c>
      <c r="K56">
        <v>7.3</v>
      </c>
      <c r="L56">
        <v>8.3000000000000007</v>
      </c>
      <c r="M56">
        <v>275</v>
      </c>
      <c r="N56">
        <v>75</v>
      </c>
      <c r="O56">
        <v>1.1000000000000001</v>
      </c>
      <c r="P56">
        <v>2.8</v>
      </c>
      <c r="Q56">
        <v>0.3</v>
      </c>
      <c r="R56">
        <v>0.9</v>
      </c>
      <c r="S56">
        <v>3</v>
      </c>
      <c r="T56">
        <v>21</v>
      </c>
      <c r="U56">
        <v>75</v>
      </c>
      <c r="V56">
        <v>460</v>
      </c>
      <c r="W56">
        <v>2</v>
      </c>
      <c r="X56">
        <v>2</v>
      </c>
    </row>
    <row r="57" spans="1:24" x14ac:dyDescent="0.3">
      <c r="A57">
        <v>4370</v>
      </c>
      <c r="B57" t="s">
        <v>96</v>
      </c>
      <c r="D57">
        <v>2023</v>
      </c>
      <c r="E57" t="s">
        <v>94</v>
      </c>
      <c r="F57" t="s">
        <v>70</v>
      </c>
      <c r="G57">
        <v>22</v>
      </c>
      <c r="H57">
        <v>28</v>
      </c>
      <c r="I57">
        <v>4.2</v>
      </c>
      <c r="J57">
        <v>8.4</v>
      </c>
      <c r="K57">
        <v>7.5</v>
      </c>
      <c r="L57">
        <v>8</v>
      </c>
      <c r="M57">
        <v>132</v>
      </c>
      <c r="N57">
        <v>120</v>
      </c>
      <c r="O57">
        <v>1.2</v>
      </c>
      <c r="P57">
        <v>2.8</v>
      </c>
      <c r="Q57">
        <v>0.3</v>
      </c>
      <c r="R57">
        <v>2.9</v>
      </c>
      <c r="S57">
        <v>7</v>
      </c>
      <c r="T57">
        <v>21</v>
      </c>
      <c r="U57">
        <v>120</v>
      </c>
      <c r="V57">
        <v>460</v>
      </c>
    </row>
    <row r="58" spans="1:24" x14ac:dyDescent="0.3">
      <c r="A58">
        <v>2354</v>
      </c>
      <c r="B58" t="s">
        <v>97</v>
      </c>
      <c r="D58">
        <v>2023</v>
      </c>
      <c r="E58" t="s">
        <v>94</v>
      </c>
      <c r="F58" t="s">
        <v>70</v>
      </c>
      <c r="G58">
        <v>25</v>
      </c>
      <c r="H58">
        <v>27</v>
      </c>
      <c r="I58">
        <v>3.4</v>
      </c>
      <c r="J58">
        <v>7</v>
      </c>
      <c r="K58">
        <v>6.3</v>
      </c>
      <c r="L58">
        <v>8.4</v>
      </c>
      <c r="M58">
        <v>241</v>
      </c>
      <c r="N58">
        <v>64</v>
      </c>
      <c r="O58">
        <v>2.4</v>
      </c>
      <c r="P58">
        <v>5.2</v>
      </c>
      <c r="Q58">
        <v>0.3</v>
      </c>
      <c r="R58">
        <v>2.9</v>
      </c>
      <c r="S58">
        <v>7</v>
      </c>
      <c r="T58">
        <v>28</v>
      </c>
      <c r="U58">
        <v>64</v>
      </c>
      <c r="V58">
        <v>1100</v>
      </c>
      <c r="W58">
        <v>4</v>
      </c>
      <c r="X58">
        <v>4</v>
      </c>
    </row>
    <row r="59" spans="1:24" x14ac:dyDescent="0.3">
      <c r="A59">
        <v>4374</v>
      </c>
      <c r="B59" t="s">
        <v>98</v>
      </c>
      <c r="D59">
        <v>2023</v>
      </c>
      <c r="E59" t="s">
        <v>94</v>
      </c>
      <c r="F59" t="s">
        <v>70</v>
      </c>
      <c r="G59">
        <v>22</v>
      </c>
      <c r="H59">
        <v>30</v>
      </c>
      <c r="I59">
        <v>3.4</v>
      </c>
      <c r="J59">
        <v>8.1</v>
      </c>
      <c r="K59">
        <v>7.2</v>
      </c>
      <c r="L59">
        <v>8.4</v>
      </c>
      <c r="M59">
        <v>130</v>
      </c>
      <c r="N59">
        <v>120</v>
      </c>
      <c r="O59">
        <v>1.6</v>
      </c>
      <c r="P59">
        <v>4.2</v>
      </c>
      <c r="Q59">
        <v>0.3</v>
      </c>
      <c r="R59">
        <v>8.6</v>
      </c>
      <c r="S59">
        <v>4</v>
      </c>
      <c r="T59">
        <v>11</v>
      </c>
      <c r="U59">
        <v>120</v>
      </c>
      <c r="V59">
        <v>240</v>
      </c>
    </row>
    <row r="60" spans="1:24" x14ac:dyDescent="0.3">
      <c r="A60">
        <v>2057</v>
      </c>
      <c r="B60" t="s">
        <v>99</v>
      </c>
      <c r="D60">
        <v>2023</v>
      </c>
      <c r="E60" t="s">
        <v>94</v>
      </c>
      <c r="F60" t="s">
        <v>100</v>
      </c>
      <c r="I60">
        <v>0.3</v>
      </c>
      <c r="J60">
        <v>1.5</v>
      </c>
      <c r="K60">
        <v>6.9</v>
      </c>
      <c r="L60">
        <v>7.7</v>
      </c>
      <c r="O60">
        <v>32</v>
      </c>
      <c r="P60">
        <v>46</v>
      </c>
      <c r="S60">
        <v>110000</v>
      </c>
      <c r="T60">
        <v>340000</v>
      </c>
    </row>
    <row r="61" spans="1:24" x14ac:dyDescent="0.3">
      <c r="A61">
        <v>1479</v>
      </c>
      <c r="B61" t="s">
        <v>101</v>
      </c>
      <c r="D61">
        <v>2023</v>
      </c>
      <c r="E61" t="s">
        <v>94</v>
      </c>
      <c r="F61" t="s">
        <v>100</v>
      </c>
      <c r="K61">
        <v>7.1</v>
      </c>
      <c r="L61">
        <v>7.8</v>
      </c>
      <c r="Q61">
        <v>0.3</v>
      </c>
      <c r="R61">
        <v>0.6</v>
      </c>
    </row>
    <row r="62" spans="1:24" x14ac:dyDescent="0.3">
      <c r="A62">
        <v>2265</v>
      </c>
      <c r="B62" t="s">
        <v>102</v>
      </c>
      <c r="D62">
        <v>2023</v>
      </c>
      <c r="E62" t="s">
        <v>94</v>
      </c>
      <c r="F62" t="s">
        <v>89</v>
      </c>
      <c r="G62">
        <v>27</v>
      </c>
      <c r="H62">
        <v>31</v>
      </c>
      <c r="I62">
        <v>5</v>
      </c>
      <c r="J62">
        <v>7.4</v>
      </c>
      <c r="K62">
        <v>5.7</v>
      </c>
      <c r="L62">
        <v>7.3</v>
      </c>
      <c r="M62">
        <v>33</v>
      </c>
      <c r="N62">
        <v>1400</v>
      </c>
      <c r="O62">
        <v>1</v>
      </c>
      <c r="P62">
        <v>1.7</v>
      </c>
      <c r="Q62">
        <v>0.3</v>
      </c>
      <c r="R62">
        <v>0.8</v>
      </c>
      <c r="S62">
        <v>1100</v>
      </c>
      <c r="T62">
        <v>2200</v>
      </c>
      <c r="U62">
        <v>1400</v>
      </c>
      <c r="V62">
        <v>9200</v>
      </c>
      <c r="W62">
        <v>140</v>
      </c>
      <c r="X62">
        <v>140</v>
      </c>
    </row>
    <row r="63" spans="1:24" x14ac:dyDescent="0.3">
      <c r="A63">
        <v>2266</v>
      </c>
      <c r="B63" t="s">
        <v>103</v>
      </c>
      <c r="D63">
        <v>2023</v>
      </c>
      <c r="E63" t="s">
        <v>94</v>
      </c>
      <c r="F63" t="s">
        <v>89</v>
      </c>
      <c r="G63">
        <v>26</v>
      </c>
      <c r="H63">
        <v>31</v>
      </c>
      <c r="I63">
        <v>4.4000000000000004</v>
      </c>
      <c r="J63">
        <v>8.1999999999999993</v>
      </c>
      <c r="K63">
        <v>5.9</v>
      </c>
      <c r="L63">
        <v>7.4</v>
      </c>
      <c r="M63">
        <v>32</v>
      </c>
      <c r="N63">
        <v>400</v>
      </c>
      <c r="O63">
        <v>1</v>
      </c>
      <c r="P63">
        <v>2</v>
      </c>
      <c r="Q63">
        <v>0.3</v>
      </c>
      <c r="R63">
        <v>1.6</v>
      </c>
      <c r="S63">
        <v>200</v>
      </c>
      <c r="T63">
        <v>2700</v>
      </c>
      <c r="U63">
        <v>400</v>
      </c>
      <c r="V63">
        <v>7900</v>
      </c>
      <c r="W63">
        <v>78</v>
      </c>
      <c r="X63">
        <v>78</v>
      </c>
    </row>
    <row r="64" spans="1:24" x14ac:dyDescent="0.3">
      <c r="A64">
        <v>2268</v>
      </c>
      <c r="B64" t="s">
        <v>104</v>
      </c>
      <c r="D64">
        <v>2023</v>
      </c>
      <c r="E64" t="s">
        <v>94</v>
      </c>
      <c r="F64" t="s">
        <v>89</v>
      </c>
      <c r="G64">
        <v>26</v>
      </c>
      <c r="H64">
        <v>30</v>
      </c>
      <c r="I64">
        <v>4.2</v>
      </c>
      <c r="J64">
        <v>7.5</v>
      </c>
      <c r="K64">
        <v>6.7</v>
      </c>
      <c r="L64">
        <v>7.8</v>
      </c>
      <c r="M64">
        <v>335</v>
      </c>
      <c r="N64">
        <v>920</v>
      </c>
      <c r="O64">
        <v>1.1000000000000001</v>
      </c>
      <c r="P64">
        <v>1.9</v>
      </c>
      <c r="Q64">
        <v>0.3</v>
      </c>
      <c r="R64">
        <v>0.6</v>
      </c>
      <c r="S64">
        <v>140</v>
      </c>
      <c r="T64">
        <v>2700</v>
      </c>
      <c r="U64">
        <v>920</v>
      </c>
      <c r="V64">
        <v>3500</v>
      </c>
      <c r="W64">
        <v>79</v>
      </c>
      <c r="X64">
        <v>79</v>
      </c>
    </row>
    <row r="65" spans="1:24" x14ac:dyDescent="0.3">
      <c r="A65">
        <v>2073</v>
      </c>
      <c r="B65" t="s">
        <v>105</v>
      </c>
      <c r="D65">
        <v>2023</v>
      </c>
      <c r="E65" t="s">
        <v>94</v>
      </c>
      <c r="F65" t="s">
        <v>106</v>
      </c>
      <c r="G65">
        <v>27</v>
      </c>
      <c r="H65">
        <v>33</v>
      </c>
      <c r="I65">
        <v>4.8</v>
      </c>
      <c r="J65">
        <v>7.6</v>
      </c>
      <c r="K65">
        <v>7.4</v>
      </c>
      <c r="L65">
        <v>8.3000000000000007</v>
      </c>
      <c r="M65">
        <v>212</v>
      </c>
      <c r="N65">
        <v>4</v>
      </c>
      <c r="O65">
        <v>1</v>
      </c>
      <c r="P65">
        <v>1.3</v>
      </c>
      <c r="Q65">
        <v>0.3</v>
      </c>
      <c r="R65">
        <v>1.3</v>
      </c>
      <c r="S65">
        <v>2</v>
      </c>
      <c r="T65">
        <v>2</v>
      </c>
      <c r="U65">
        <v>4</v>
      </c>
      <c r="V65">
        <v>21</v>
      </c>
    </row>
    <row r="66" spans="1:24" x14ac:dyDescent="0.3">
      <c r="A66">
        <v>5521</v>
      </c>
      <c r="B66" t="s">
        <v>107</v>
      </c>
      <c r="D66">
        <v>2023</v>
      </c>
      <c r="E66" t="s">
        <v>108</v>
      </c>
      <c r="F66" t="s">
        <v>109</v>
      </c>
      <c r="G66">
        <v>23</v>
      </c>
      <c r="H66">
        <v>34</v>
      </c>
      <c r="I66">
        <v>5.0999999999999996</v>
      </c>
      <c r="J66">
        <v>9.6</v>
      </c>
      <c r="K66">
        <v>6.6</v>
      </c>
      <c r="L66">
        <v>8</v>
      </c>
      <c r="M66">
        <v>236</v>
      </c>
      <c r="N66">
        <v>302</v>
      </c>
      <c r="O66">
        <v>3.5</v>
      </c>
      <c r="P66">
        <v>5.8</v>
      </c>
      <c r="Q66">
        <v>1.3</v>
      </c>
      <c r="R66">
        <v>2.1</v>
      </c>
      <c r="S66">
        <v>2</v>
      </c>
      <c r="T66">
        <v>1500</v>
      </c>
      <c r="U66">
        <v>360</v>
      </c>
      <c r="V66">
        <v>3500</v>
      </c>
      <c r="W66">
        <v>2</v>
      </c>
      <c r="X66">
        <v>490</v>
      </c>
    </row>
    <row r="67" spans="1:24" x14ac:dyDescent="0.3">
      <c r="A67">
        <v>5522</v>
      </c>
      <c r="B67" t="s">
        <v>110</v>
      </c>
      <c r="D67">
        <v>2023</v>
      </c>
      <c r="E67" t="s">
        <v>108</v>
      </c>
      <c r="F67" t="s">
        <v>109</v>
      </c>
      <c r="G67">
        <v>23</v>
      </c>
      <c r="H67">
        <v>32</v>
      </c>
      <c r="I67">
        <v>5.6</v>
      </c>
      <c r="J67">
        <v>10.4</v>
      </c>
      <c r="K67">
        <v>7</v>
      </c>
      <c r="L67">
        <v>9.1999999999999993</v>
      </c>
      <c r="M67">
        <v>238</v>
      </c>
      <c r="N67">
        <v>316</v>
      </c>
      <c r="O67">
        <v>5</v>
      </c>
      <c r="P67">
        <v>6</v>
      </c>
      <c r="Q67">
        <v>1.2</v>
      </c>
      <c r="R67">
        <v>2.4</v>
      </c>
      <c r="S67">
        <v>300</v>
      </c>
      <c r="T67">
        <v>730</v>
      </c>
      <c r="U67">
        <v>2</v>
      </c>
      <c r="V67">
        <v>1600</v>
      </c>
      <c r="W67">
        <v>2</v>
      </c>
      <c r="X67">
        <v>240</v>
      </c>
    </row>
    <row r="68" spans="1:24" x14ac:dyDescent="0.3">
      <c r="A68">
        <v>3821</v>
      </c>
      <c r="B68" t="s">
        <v>111</v>
      </c>
      <c r="D68">
        <v>2023</v>
      </c>
      <c r="E68" t="s">
        <v>108</v>
      </c>
      <c r="F68" t="s">
        <v>109</v>
      </c>
      <c r="G68">
        <v>21</v>
      </c>
      <c r="H68">
        <v>34</v>
      </c>
      <c r="I68">
        <v>5.2</v>
      </c>
      <c r="J68">
        <v>5.6</v>
      </c>
      <c r="K68">
        <v>7</v>
      </c>
      <c r="L68">
        <v>7.6</v>
      </c>
      <c r="M68">
        <v>118</v>
      </c>
      <c r="N68">
        <v>136</v>
      </c>
      <c r="O68">
        <v>1.9</v>
      </c>
      <c r="P68">
        <v>2.5</v>
      </c>
      <c r="Q68">
        <v>0.8</v>
      </c>
      <c r="R68">
        <v>2</v>
      </c>
      <c r="S68">
        <v>300</v>
      </c>
      <c r="T68">
        <v>360</v>
      </c>
      <c r="U68">
        <v>720</v>
      </c>
      <c r="V68">
        <v>1400</v>
      </c>
      <c r="W68">
        <v>95</v>
      </c>
      <c r="X68">
        <v>150</v>
      </c>
    </row>
    <row r="69" spans="1:24" x14ac:dyDescent="0.3">
      <c r="A69">
        <v>5619</v>
      </c>
      <c r="B69" t="s">
        <v>112</v>
      </c>
      <c r="D69">
        <v>2023</v>
      </c>
      <c r="E69" t="s">
        <v>108</v>
      </c>
      <c r="F69" t="s">
        <v>109</v>
      </c>
      <c r="G69">
        <v>23</v>
      </c>
      <c r="H69">
        <v>27</v>
      </c>
      <c r="I69">
        <v>5.0999999999999996</v>
      </c>
      <c r="J69">
        <v>5.5</v>
      </c>
      <c r="K69">
        <v>6.8</v>
      </c>
      <c r="L69">
        <v>7.4</v>
      </c>
      <c r="M69">
        <v>132</v>
      </c>
      <c r="N69">
        <v>142</v>
      </c>
      <c r="O69">
        <v>2.2999999999999998</v>
      </c>
      <c r="P69">
        <v>5.5</v>
      </c>
      <c r="Q69">
        <v>0.7</v>
      </c>
      <c r="R69">
        <v>1.1000000000000001</v>
      </c>
      <c r="S69">
        <v>300</v>
      </c>
      <c r="T69">
        <v>620</v>
      </c>
      <c r="U69">
        <v>730</v>
      </c>
      <c r="V69">
        <v>1500</v>
      </c>
      <c r="W69">
        <v>95</v>
      </c>
      <c r="X69">
        <v>290</v>
      </c>
    </row>
    <row r="70" spans="1:24" x14ac:dyDescent="0.3">
      <c r="A70">
        <v>1263</v>
      </c>
      <c r="B70" t="s">
        <v>113</v>
      </c>
      <c r="D70">
        <v>2023</v>
      </c>
      <c r="E70" t="s">
        <v>108</v>
      </c>
      <c r="F70" t="s">
        <v>109</v>
      </c>
      <c r="G70">
        <v>16</v>
      </c>
      <c r="H70">
        <v>34</v>
      </c>
      <c r="I70">
        <v>4.3</v>
      </c>
      <c r="J70">
        <v>5.5</v>
      </c>
      <c r="K70">
        <v>7</v>
      </c>
      <c r="L70">
        <v>7.5</v>
      </c>
      <c r="M70">
        <v>236</v>
      </c>
      <c r="N70">
        <v>280</v>
      </c>
      <c r="O70">
        <v>2.2999999999999998</v>
      </c>
      <c r="P70">
        <v>2.8</v>
      </c>
      <c r="Q70">
        <v>1</v>
      </c>
      <c r="R70">
        <v>2.2000000000000002</v>
      </c>
      <c r="S70">
        <v>300</v>
      </c>
      <c r="T70">
        <v>730</v>
      </c>
      <c r="U70">
        <v>720</v>
      </c>
      <c r="V70">
        <v>2000</v>
      </c>
      <c r="W70">
        <v>95</v>
      </c>
      <c r="X70">
        <v>240</v>
      </c>
    </row>
    <row r="71" spans="1:24" x14ac:dyDescent="0.3">
      <c r="A71">
        <v>5623</v>
      </c>
      <c r="B71" t="s">
        <v>114</v>
      </c>
      <c r="D71">
        <v>2023</v>
      </c>
      <c r="E71" t="s">
        <v>108</v>
      </c>
      <c r="F71" t="s">
        <v>109</v>
      </c>
      <c r="G71">
        <v>17</v>
      </c>
      <c r="H71">
        <v>24</v>
      </c>
      <c r="I71">
        <v>5.0999999999999996</v>
      </c>
      <c r="J71">
        <v>5.8</v>
      </c>
      <c r="K71">
        <v>6.8</v>
      </c>
      <c r="L71">
        <v>7.2</v>
      </c>
      <c r="M71">
        <v>129</v>
      </c>
      <c r="N71">
        <v>192</v>
      </c>
      <c r="O71">
        <v>2.2000000000000002</v>
      </c>
      <c r="P71">
        <v>2.6</v>
      </c>
      <c r="Q71">
        <v>0.8</v>
      </c>
      <c r="R71">
        <v>1</v>
      </c>
      <c r="S71">
        <v>300</v>
      </c>
      <c r="T71">
        <v>360</v>
      </c>
      <c r="U71">
        <v>620</v>
      </c>
      <c r="V71">
        <v>1500</v>
      </c>
      <c r="W71">
        <v>95</v>
      </c>
      <c r="X71">
        <v>150</v>
      </c>
    </row>
    <row r="72" spans="1:24" x14ac:dyDescent="0.3">
      <c r="A72">
        <v>3787</v>
      </c>
      <c r="B72" t="s">
        <v>115</v>
      </c>
      <c r="D72">
        <v>2023</v>
      </c>
      <c r="E72" t="s">
        <v>108</v>
      </c>
      <c r="F72" t="s">
        <v>109</v>
      </c>
      <c r="G72">
        <v>22</v>
      </c>
      <c r="H72">
        <v>24</v>
      </c>
      <c r="I72">
        <v>4.5</v>
      </c>
      <c r="J72">
        <v>7.8</v>
      </c>
      <c r="K72">
        <v>6.9</v>
      </c>
      <c r="L72">
        <v>7.3</v>
      </c>
      <c r="M72">
        <v>96</v>
      </c>
      <c r="N72">
        <v>148</v>
      </c>
      <c r="O72">
        <v>2</v>
      </c>
      <c r="P72">
        <v>2.6</v>
      </c>
      <c r="Q72">
        <v>0.6</v>
      </c>
      <c r="R72">
        <v>2</v>
      </c>
      <c r="S72">
        <v>300</v>
      </c>
      <c r="T72">
        <v>620</v>
      </c>
      <c r="U72">
        <v>600</v>
      </c>
      <c r="V72">
        <v>1300</v>
      </c>
      <c r="W72">
        <v>95</v>
      </c>
      <c r="X72">
        <v>210</v>
      </c>
    </row>
    <row r="73" spans="1:24" x14ac:dyDescent="0.3">
      <c r="A73">
        <v>5617</v>
      </c>
      <c r="B73" t="s">
        <v>116</v>
      </c>
      <c r="D73">
        <v>2023</v>
      </c>
      <c r="E73" t="s">
        <v>108</v>
      </c>
      <c r="F73" t="s">
        <v>109</v>
      </c>
      <c r="G73">
        <v>21</v>
      </c>
      <c r="H73">
        <v>34</v>
      </c>
      <c r="I73">
        <v>5</v>
      </c>
      <c r="J73">
        <v>8</v>
      </c>
      <c r="K73">
        <v>6.8</v>
      </c>
      <c r="L73">
        <v>7.7</v>
      </c>
      <c r="M73">
        <v>92</v>
      </c>
      <c r="N73">
        <v>106</v>
      </c>
      <c r="O73">
        <v>2</v>
      </c>
      <c r="P73">
        <v>2.6</v>
      </c>
      <c r="Q73">
        <v>0.6</v>
      </c>
      <c r="R73">
        <v>0.9</v>
      </c>
      <c r="S73">
        <v>300</v>
      </c>
      <c r="T73">
        <v>360</v>
      </c>
      <c r="U73">
        <v>620</v>
      </c>
      <c r="V73">
        <v>1500</v>
      </c>
      <c r="W73">
        <v>95</v>
      </c>
      <c r="X73">
        <v>150</v>
      </c>
    </row>
    <row r="74" spans="1:24" x14ac:dyDescent="0.3">
      <c r="A74">
        <v>4337</v>
      </c>
      <c r="B74" t="s">
        <v>117</v>
      </c>
      <c r="D74">
        <v>2023</v>
      </c>
      <c r="E74" t="s">
        <v>108</v>
      </c>
      <c r="F74" t="s">
        <v>109</v>
      </c>
      <c r="G74">
        <v>19</v>
      </c>
      <c r="H74">
        <v>32</v>
      </c>
      <c r="I74">
        <v>5.0999999999999996</v>
      </c>
      <c r="J74">
        <v>7.4</v>
      </c>
      <c r="K74">
        <v>6.6</v>
      </c>
      <c r="L74">
        <v>7.5</v>
      </c>
      <c r="M74">
        <v>78</v>
      </c>
      <c r="N74">
        <v>106</v>
      </c>
      <c r="O74">
        <v>1.9</v>
      </c>
      <c r="P74">
        <v>2.5</v>
      </c>
      <c r="Q74">
        <v>0.6</v>
      </c>
      <c r="R74">
        <v>1.4</v>
      </c>
      <c r="S74">
        <v>720</v>
      </c>
      <c r="T74">
        <v>360</v>
      </c>
      <c r="U74">
        <v>600</v>
      </c>
      <c r="V74">
        <v>910</v>
      </c>
      <c r="W74">
        <v>110</v>
      </c>
      <c r="X74">
        <v>140</v>
      </c>
    </row>
    <row r="75" spans="1:24" x14ac:dyDescent="0.3">
      <c r="A75">
        <v>3812</v>
      </c>
      <c r="B75" t="s">
        <v>118</v>
      </c>
      <c r="D75">
        <v>2023</v>
      </c>
      <c r="E75" t="s">
        <v>108</v>
      </c>
      <c r="F75" t="s">
        <v>109</v>
      </c>
      <c r="G75">
        <v>20</v>
      </c>
      <c r="H75">
        <v>37</v>
      </c>
      <c r="I75">
        <v>0.3</v>
      </c>
      <c r="J75">
        <v>6.2</v>
      </c>
      <c r="K75">
        <v>7.1</v>
      </c>
      <c r="L75">
        <v>7.7</v>
      </c>
      <c r="M75">
        <v>1007</v>
      </c>
      <c r="N75">
        <v>1062</v>
      </c>
      <c r="O75">
        <v>21</v>
      </c>
      <c r="P75">
        <v>26.2</v>
      </c>
      <c r="Q75">
        <v>2</v>
      </c>
      <c r="R75">
        <v>3.6</v>
      </c>
      <c r="S75">
        <v>360</v>
      </c>
      <c r="T75">
        <v>2100</v>
      </c>
      <c r="U75">
        <v>1500</v>
      </c>
      <c r="V75">
        <v>3600</v>
      </c>
      <c r="W75">
        <v>210</v>
      </c>
      <c r="X75">
        <v>490</v>
      </c>
    </row>
    <row r="76" spans="1:24" x14ac:dyDescent="0.3">
      <c r="A76">
        <v>5621</v>
      </c>
      <c r="B76" t="s">
        <v>119</v>
      </c>
      <c r="D76">
        <v>2023</v>
      </c>
      <c r="E76" t="s">
        <v>108</v>
      </c>
      <c r="F76" t="s">
        <v>109</v>
      </c>
      <c r="G76">
        <v>22</v>
      </c>
      <c r="H76">
        <v>35</v>
      </c>
      <c r="I76">
        <v>5</v>
      </c>
      <c r="J76">
        <v>5.6</v>
      </c>
      <c r="K76">
        <v>7</v>
      </c>
      <c r="L76">
        <v>7.5</v>
      </c>
      <c r="M76">
        <v>122</v>
      </c>
      <c r="N76">
        <v>162</v>
      </c>
      <c r="O76">
        <v>2.1</v>
      </c>
      <c r="P76">
        <v>2.6</v>
      </c>
      <c r="Q76">
        <v>0.6</v>
      </c>
      <c r="R76">
        <v>1.1000000000000001</v>
      </c>
      <c r="S76">
        <v>620</v>
      </c>
      <c r="T76">
        <v>720</v>
      </c>
      <c r="U76">
        <v>720</v>
      </c>
      <c r="V76">
        <v>2000</v>
      </c>
      <c r="W76">
        <v>95</v>
      </c>
      <c r="X76">
        <v>210</v>
      </c>
    </row>
    <row r="77" spans="1:24" x14ac:dyDescent="0.3">
      <c r="A77">
        <v>3783</v>
      </c>
      <c r="B77" t="s">
        <v>120</v>
      </c>
      <c r="D77">
        <v>2023</v>
      </c>
      <c r="E77" t="s">
        <v>108</v>
      </c>
      <c r="F77" t="s">
        <v>109</v>
      </c>
      <c r="G77">
        <v>23</v>
      </c>
      <c r="H77">
        <v>27</v>
      </c>
      <c r="I77">
        <v>5.0999999999999996</v>
      </c>
      <c r="J77">
        <v>9.6999999999999993</v>
      </c>
      <c r="K77">
        <v>6.6</v>
      </c>
      <c r="L77">
        <v>7.2</v>
      </c>
      <c r="M77">
        <v>110</v>
      </c>
      <c r="N77">
        <v>168</v>
      </c>
      <c r="O77">
        <v>1.9</v>
      </c>
      <c r="P77">
        <v>2.7</v>
      </c>
      <c r="Q77">
        <v>0.5</v>
      </c>
      <c r="R77">
        <v>1.8</v>
      </c>
      <c r="S77">
        <v>360</v>
      </c>
      <c r="T77">
        <v>620</v>
      </c>
      <c r="U77">
        <v>730</v>
      </c>
      <c r="V77">
        <v>1500</v>
      </c>
      <c r="W77">
        <v>95</v>
      </c>
      <c r="X77">
        <v>210</v>
      </c>
    </row>
    <row r="78" spans="1:24" x14ac:dyDescent="0.3">
      <c r="A78">
        <v>5622</v>
      </c>
      <c r="B78" t="s">
        <v>121</v>
      </c>
      <c r="D78">
        <v>2023</v>
      </c>
      <c r="E78" t="s">
        <v>108</v>
      </c>
      <c r="F78" t="s">
        <v>109</v>
      </c>
      <c r="G78">
        <v>22</v>
      </c>
      <c r="H78">
        <v>26</v>
      </c>
      <c r="I78">
        <v>5</v>
      </c>
      <c r="J78">
        <v>9.5</v>
      </c>
      <c r="K78">
        <v>6.7</v>
      </c>
      <c r="L78">
        <v>8</v>
      </c>
      <c r="M78">
        <v>120</v>
      </c>
      <c r="N78">
        <v>162</v>
      </c>
      <c r="O78">
        <v>1.8</v>
      </c>
      <c r="P78">
        <v>2.7</v>
      </c>
      <c r="Q78">
        <v>0.6</v>
      </c>
      <c r="R78">
        <v>1.2</v>
      </c>
      <c r="S78">
        <v>300</v>
      </c>
      <c r="T78">
        <v>360</v>
      </c>
      <c r="U78">
        <v>610</v>
      </c>
      <c r="V78">
        <v>1400</v>
      </c>
      <c r="W78">
        <v>93</v>
      </c>
      <c r="X78">
        <v>160</v>
      </c>
    </row>
    <row r="79" spans="1:24" x14ac:dyDescent="0.3">
      <c r="A79">
        <v>3800</v>
      </c>
      <c r="B79" t="s">
        <v>122</v>
      </c>
      <c r="D79">
        <v>2023</v>
      </c>
      <c r="E79" t="s">
        <v>108</v>
      </c>
      <c r="F79" t="s">
        <v>109</v>
      </c>
      <c r="G79">
        <v>22</v>
      </c>
      <c r="H79">
        <v>24</v>
      </c>
      <c r="I79">
        <v>4</v>
      </c>
      <c r="J79">
        <v>5.5</v>
      </c>
      <c r="K79">
        <v>6.5</v>
      </c>
      <c r="L79">
        <v>7.3</v>
      </c>
      <c r="M79">
        <v>132</v>
      </c>
      <c r="N79">
        <v>172</v>
      </c>
      <c r="O79">
        <v>2.1</v>
      </c>
      <c r="P79">
        <v>2.7</v>
      </c>
      <c r="Q79">
        <v>0.8</v>
      </c>
      <c r="R79">
        <v>1.7</v>
      </c>
      <c r="S79">
        <v>300</v>
      </c>
      <c r="T79">
        <v>600</v>
      </c>
      <c r="U79">
        <v>910</v>
      </c>
      <c r="V79">
        <v>1400</v>
      </c>
      <c r="W79">
        <v>95</v>
      </c>
      <c r="X79">
        <v>210</v>
      </c>
    </row>
    <row r="80" spans="1:24" x14ac:dyDescent="0.3">
      <c r="A80">
        <v>2205</v>
      </c>
      <c r="B80" t="s">
        <v>123</v>
      </c>
      <c r="D80">
        <v>2023</v>
      </c>
      <c r="E80" t="s">
        <v>108</v>
      </c>
      <c r="F80" t="s">
        <v>109</v>
      </c>
      <c r="G80">
        <v>22</v>
      </c>
      <c r="H80">
        <v>23</v>
      </c>
      <c r="I80">
        <v>5</v>
      </c>
      <c r="J80">
        <v>7.1</v>
      </c>
      <c r="K80">
        <v>6.8</v>
      </c>
      <c r="L80">
        <v>7.3</v>
      </c>
      <c r="M80">
        <v>120</v>
      </c>
      <c r="N80">
        <v>154</v>
      </c>
      <c r="O80">
        <v>2</v>
      </c>
      <c r="P80">
        <v>2.4</v>
      </c>
      <c r="Q80">
        <v>0.6</v>
      </c>
      <c r="R80">
        <v>1.8</v>
      </c>
      <c r="S80">
        <v>730</v>
      </c>
      <c r="T80">
        <v>620</v>
      </c>
      <c r="U80">
        <v>720</v>
      </c>
      <c r="V80">
        <v>1500</v>
      </c>
      <c r="W80">
        <v>95</v>
      </c>
      <c r="X80">
        <v>210</v>
      </c>
    </row>
    <row r="81" spans="1:24" x14ac:dyDescent="0.3">
      <c r="A81">
        <v>5620</v>
      </c>
      <c r="B81" t="s">
        <v>124</v>
      </c>
      <c r="D81">
        <v>2023</v>
      </c>
      <c r="E81" t="s">
        <v>108</v>
      </c>
      <c r="F81" t="s">
        <v>109</v>
      </c>
      <c r="G81">
        <v>21</v>
      </c>
      <c r="H81">
        <v>39</v>
      </c>
      <c r="I81">
        <v>5.0999999999999996</v>
      </c>
      <c r="J81">
        <v>6.1</v>
      </c>
      <c r="K81">
        <v>6.8</v>
      </c>
      <c r="L81">
        <v>7.4</v>
      </c>
      <c r="M81">
        <v>92</v>
      </c>
      <c r="N81">
        <v>112</v>
      </c>
      <c r="O81">
        <v>2</v>
      </c>
      <c r="P81">
        <v>2.4</v>
      </c>
      <c r="Q81">
        <v>0.7</v>
      </c>
      <c r="R81">
        <v>1.2</v>
      </c>
      <c r="S81">
        <v>300</v>
      </c>
      <c r="T81">
        <v>910</v>
      </c>
      <c r="U81">
        <v>1100</v>
      </c>
      <c r="V81">
        <v>2100</v>
      </c>
      <c r="W81">
        <v>180</v>
      </c>
      <c r="X81">
        <v>340</v>
      </c>
    </row>
    <row r="82" spans="1:24" x14ac:dyDescent="0.3">
      <c r="A82">
        <v>3808</v>
      </c>
      <c r="B82" t="s">
        <v>125</v>
      </c>
      <c r="D82">
        <v>2023</v>
      </c>
      <c r="E82" t="s">
        <v>108</v>
      </c>
      <c r="F82" t="s">
        <v>109</v>
      </c>
      <c r="G82">
        <v>21</v>
      </c>
      <c r="H82">
        <v>34</v>
      </c>
      <c r="I82">
        <v>5</v>
      </c>
      <c r="J82">
        <v>7.2</v>
      </c>
      <c r="K82">
        <v>7</v>
      </c>
      <c r="L82">
        <v>7.5</v>
      </c>
      <c r="M82">
        <v>102</v>
      </c>
      <c r="N82">
        <v>138</v>
      </c>
      <c r="O82">
        <v>2</v>
      </c>
      <c r="P82">
        <v>2.7</v>
      </c>
      <c r="Q82">
        <v>0.7</v>
      </c>
      <c r="R82">
        <v>2.6</v>
      </c>
      <c r="S82">
        <v>300</v>
      </c>
      <c r="T82">
        <v>610</v>
      </c>
      <c r="U82">
        <v>600</v>
      </c>
      <c r="V82">
        <v>1400</v>
      </c>
      <c r="W82">
        <v>95</v>
      </c>
      <c r="X82">
        <v>210</v>
      </c>
    </row>
    <row r="83" spans="1:24" x14ac:dyDescent="0.3">
      <c r="A83">
        <v>3798</v>
      </c>
      <c r="B83" t="s">
        <v>126</v>
      </c>
      <c r="D83">
        <v>2023</v>
      </c>
      <c r="E83" t="s">
        <v>108</v>
      </c>
      <c r="F83" t="s">
        <v>109</v>
      </c>
      <c r="G83">
        <v>16</v>
      </c>
      <c r="H83">
        <v>34</v>
      </c>
      <c r="I83">
        <v>4.9000000000000004</v>
      </c>
      <c r="J83">
        <v>5.9</v>
      </c>
      <c r="K83">
        <v>6.8</v>
      </c>
      <c r="L83">
        <v>7.3</v>
      </c>
      <c r="M83">
        <v>90</v>
      </c>
      <c r="N83">
        <v>120</v>
      </c>
      <c r="O83">
        <v>2</v>
      </c>
      <c r="P83">
        <v>2.5</v>
      </c>
      <c r="Q83">
        <v>0.6</v>
      </c>
      <c r="R83">
        <v>1.7</v>
      </c>
      <c r="S83">
        <v>300</v>
      </c>
      <c r="T83">
        <v>620</v>
      </c>
      <c r="U83">
        <v>910</v>
      </c>
      <c r="V83">
        <v>1400</v>
      </c>
      <c r="W83">
        <v>95</v>
      </c>
      <c r="X83">
        <v>210</v>
      </c>
    </row>
    <row r="84" spans="1:24" x14ac:dyDescent="0.3">
      <c r="A84">
        <v>2215</v>
      </c>
      <c r="B84" t="s">
        <v>127</v>
      </c>
      <c r="D84">
        <v>2023</v>
      </c>
      <c r="E84" t="s">
        <v>108</v>
      </c>
      <c r="F84" t="s">
        <v>109</v>
      </c>
      <c r="G84">
        <v>18</v>
      </c>
      <c r="H84">
        <v>36</v>
      </c>
      <c r="I84">
        <v>5.3</v>
      </c>
      <c r="J84">
        <v>9.3000000000000007</v>
      </c>
      <c r="K84">
        <v>6.8</v>
      </c>
      <c r="L84">
        <v>8</v>
      </c>
      <c r="M84">
        <v>84</v>
      </c>
      <c r="N84">
        <v>128</v>
      </c>
      <c r="O84">
        <v>1.8</v>
      </c>
      <c r="P84">
        <v>2.5</v>
      </c>
      <c r="Q84">
        <v>0.4</v>
      </c>
      <c r="R84">
        <v>1.6</v>
      </c>
      <c r="S84">
        <v>300</v>
      </c>
      <c r="T84">
        <v>360</v>
      </c>
      <c r="U84">
        <v>620</v>
      </c>
      <c r="V84">
        <v>1100</v>
      </c>
      <c r="W84">
        <v>93</v>
      </c>
      <c r="X84">
        <v>150</v>
      </c>
    </row>
    <row r="85" spans="1:24" x14ac:dyDescent="0.3">
      <c r="A85">
        <v>3814</v>
      </c>
      <c r="B85" t="s">
        <v>128</v>
      </c>
      <c r="D85">
        <v>2023</v>
      </c>
      <c r="E85" t="s">
        <v>108</v>
      </c>
      <c r="F85" t="s">
        <v>109</v>
      </c>
      <c r="G85">
        <v>18</v>
      </c>
      <c r="H85">
        <v>30</v>
      </c>
      <c r="I85">
        <v>0.3</v>
      </c>
      <c r="J85">
        <v>4.5999999999999996</v>
      </c>
      <c r="K85">
        <v>7</v>
      </c>
      <c r="L85">
        <v>7.5</v>
      </c>
      <c r="M85">
        <v>370</v>
      </c>
      <c r="N85">
        <v>446</v>
      </c>
      <c r="O85">
        <v>10.6</v>
      </c>
      <c r="P85">
        <v>19.2</v>
      </c>
      <c r="Q85">
        <v>0.7</v>
      </c>
      <c r="R85">
        <v>2</v>
      </c>
      <c r="S85">
        <v>1500</v>
      </c>
      <c r="T85">
        <v>2800</v>
      </c>
      <c r="U85">
        <v>2700</v>
      </c>
      <c r="V85">
        <v>3600</v>
      </c>
      <c r="W85">
        <v>460</v>
      </c>
      <c r="X85">
        <v>490</v>
      </c>
    </row>
    <row r="86" spans="1:24" x14ac:dyDescent="0.3">
      <c r="A86">
        <v>3804</v>
      </c>
      <c r="B86" t="s">
        <v>129</v>
      </c>
      <c r="D86">
        <v>2023</v>
      </c>
      <c r="E86" t="s">
        <v>108</v>
      </c>
      <c r="F86" t="s">
        <v>109</v>
      </c>
      <c r="G86">
        <v>20</v>
      </c>
      <c r="H86">
        <v>24</v>
      </c>
      <c r="I86">
        <v>4.5</v>
      </c>
      <c r="J86">
        <v>6.9</v>
      </c>
      <c r="K86">
        <v>6.8</v>
      </c>
      <c r="L86">
        <v>7.3</v>
      </c>
      <c r="M86">
        <v>112</v>
      </c>
      <c r="N86">
        <v>136</v>
      </c>
      <c r="O86">
        <v>2</v>
      </c>
      <c r="P86">
        <v>2.8</v>
      </c>
      <c r="Q86">
        <v>0.7</v>
      </c>
      <c r="R86">
        <v>1.2</v>
      </c>
      <c r="S86">
        <v>300</v>
      </c>
      <c r="T86">
        <v>620</v>
      </c>
      <c r="U86">
        <v>910</v>
      </c>
      <c r="V86">
        <v>1200</v>
      </c>
      <c r="W86">
        <v>95</v>
      </c>
      <c r="X86">
        <v>210</v>
      </c>
    </row>
    <row r="87" spans="1:24" x14ac:dyDescent="0.3">
      <c r="A87">
        <v>3819</v>
      </c>
      <c r="B87" t="s">
        <v>130</v>
      </c>
      <c r="D87">
        <v>2023</v>
      </c>
      <c r="E87" t="s">
        <v>108</v>
      </c>
      <c r="F87" t="s">
        <v>109</v>
      </c>
      <c r="G87">
        <v>19</v>
      </c>
      <c r="H87">
        <v>30</v>
      </c>
      <c r="I87">
        <v>0.3</v>
      </c>
      <c r="J87">
        <v>1.1000000000000001</v>
      </c>
      <c r="K87">
        <v>7</v>
      </c>
      <c r="L87">
        <v>7.5</v>
      </c>
      <c r="M87">
        <v>370</v>
      </c>
      <c r="N87">
        <v>440</v>
      </c>
      <c r="O87">
        <v>14.6</v>
      </c>
      <c r="P87">
        <v>25.8</v>
      </c>
      <c r="Q87">
        <v>0.7</v>
      </c>
      <c r="R87">
        <v>5.6</v>
      </c>
      <c r="S87">
        <v>2800</v>
      </c>
      <c r="T87">
        <v>3600</v>
      </c>
      <c r="U87">
        <v>4200</v>
      </c>
      <c r="V87">
        <v>5300</v>
      </c>
      <c r="W87">
        <v>460</v>
      </c>
      <c r="X87">
        <v>490</v>
      </c>
    </row>
    <row r="88" spans="1:24" x14ac:dyDescent="0.3">
      <c r="A88">
        <v>2225</v>
      </c>
      <c r="B88" t="s">
        <v>131</v>
      </c>
      <c r="D88">
        <v>2023</v>
      </c>
      <c r="E88" t="s">
        <v>132</v>
      </c>
      <c r="F88" t="s">
        <v>109</v>
      </c>
      <c r="G88">
        <v>19</v>
      </c>
      <c r="H88">
        <v>23</v>
      </c>
      <c r="I88">
        <v>4.0999999999999996</v>
      </c>
      <c r="J88">
        <v>5.6</v>
      </c>
      <c r="K88">
        <v>6.8</v>
      </c>
      <c r="L88">
        <v>7.3</v>
      </c>
      <c r="M88">
        <v>90</v>
      </c>
      <c r="N88">
        <v>126</v>
      </c>
      <c r="O88">
        <v>2</v>
      </c>
      <c r="P88">
        <v>2.9</v>
      </c>
      <c r="Q88">
        <v>0.7</v>
      </c>
      <c r="R88">
        <v>1.1000000000000001</v>
      </c>
      <c r="S88">
        <v>620</v>
      </c>
      <c r="T88">
        <v>620</v>
      </c>
      <c r="U88">
        <v>910</v>
      </c>
      <c r="V88">
        <v>1300</v>
      </c>
      <c r="W88">
        <v>95</v>
      </c>
      <c r="X88">
        <v>210</v>
      </c>
    </row>
    <row r="89" spans="1:24" x14ac:dyDescent="0.3">
      <c r="A89">
        <v>2214</v>
      </c>
      <c r="B89" t="s">
        <v>133</v>
      </c>
      <c r="D89">
        <v>2023</v>
      </c>
      <c r="E89" t="s">
        <v>132</v>
      </c>
      <c r="F89" t="s">
        <v>109</v>
      </c>
      <c r="G89">
        <v>18</v>
      </c>
      <c r="H89">
        <v>32</v>
      </c>
      <c r="I89">
        <v>5</v>
      </c>
      <c r="J89">
        <v>7.6</v>
      </c>
      <c r="K89">
        <v>6.7</v>
      </c>
      <c r="L89">
        <v>7.8</v>
      </c>
      <c r="M89">
        <v>81</v>
      </c>
      <c r="N89">
        <v>112</v>
      </c>
      <c r="O89">
        <v>1.8</v>
      </c>
      <c r="P89">
        <v>2.7</v>
      </c>
      <c r="Q89">
        <v>0.8</v>
      </c>
      <c r="R89">
        <v>1.9</v>
      </c>
      <c r="S89">
        <v>300</v>
      </c>
      <c r="T89">
        <v>360</v>
      </c>
      <c r="U89">
        <v>730</v>
      </c>
      <c r="V89">
        <v>1200</v>
      </c>
      <c r="W89">
        <v>95</v>
      </c>
      <c r="X89">
        <v>240</v>
      </c>
    </row>
    <row r="90" spans="1:24" x14ac:dyDescent="0.3">
      <c r="A90">
        <v>2219</v>
      </c>
      <c r="B90" t="s">
        <v>134</v>
      </c>
      <c r="D90">
        <v>2023</v>
      </c>
      <c r="E90" t="s">
        <v>132</v>
      </c>
      <c r="F90" t="s">
        <v>109</v>
      </c>
      <c r="G90">
        <v>22</v>
      </c>
      <c r="H90">
        <v>34</v>
      </c>
      <c r="I90">
        <v>6.1</v>
      </c>
      <c r="J90">
        <v>10.9</v>
      </c>
      <c r="K90">
        <v>6.8</v>
      </c>
      <c r="L90">
        <v>7.8</v>
      </c>
      <c r="M90">
        <v>174</v>
      </c>
      <c r="N90">
        <v>262</v>
      </c>
      <c r="O90">
        <v>2</v>
      </c>
      <c r="P90">
        <v>2.6</v>
      </c>
      <c r="Q90">
        <v>0.5</v>
      </c>
      <c r="R90">
        <v>1.8</v>
      </c>
      <c r="S90">
        <v>300</v>
      </c>
      <c r="T90">
        <v>730</v>
      </c>
      <c r="U90">
        <v>720</v>
      </c>
      <c r="V90">
        <v>2000</v>
      </c>
      <c r="W90">
        <v>93</v>
      </c>
      <c r="X90">
        <v>210</v>
      </c>
    </row>
    <row r="91" spans="1:24" x14ac:dyDescent="0.3">
      <c r="A91">
        <v>2208</v>
      </c>
      <c r="B91" t="s">
        <v>135</v>
      </c>
      <c r="D91">
        <v>2023</v>
      </c>
      <c r="E91" t="s">
        <v>132</v>
      </c>
      <c r="F91" t="s">
        <v>109</v>
      </c>
      <c r="G91">
        <v>20</v>
      </c>
      <c r="H91">
        <v>34</v>
      </c>
      <c r="I91">
        <v>5.2</v>
      </c>
      <c r="J91">
        <v>7.9</v>
      </c>
      <c r="K91">
        <v>6.8</v>
      </c>
      <c r="L91">
        <v>7.5</v>
      </c>
      <c r="M91">
        <v>92</v>
      </c>
      <c r="N91">
        <v>114</v>
      </c>
      <c r="O91">
        <v>1.9</v>
      </c>
      <c r="P91">
        <v>2.8</v>
      </c>
      <c r="Q91">
        <v>0.7</v>
      </c>
      <c r="R91">
        <v>1.2</v>
      </c>
      <c r="S91">
        <v>300</v>
      </c>
      <c r="T91">
        <v>360</v>
      </c>
      <c r="U91">
        <v>700</v>
      </c>
      <c r="V91">
        <v>910</v>
      </c>
      <c r="W91">
        <v>110</v>
      </c>
      <c r="X91">
        <v>140</v>
      </c>
    </row>
    <row r="92" spans="1:24" x14ac:dyDescent="0.3">
      <c r="A92">
        <v>3772</v>
      </c>
      <c r="B92" t="s">
        <v>136</v>
      </c>
      <c r="D92">
        <v>2023</v>
      </c>
      <c r="E92" t="s">
        <v>132</v>
      </c>
      <c r="F92" t="s">
        <v>109</v>
      </c>
      <c r="G92">
        <v>21</v>
      </c>
      <c r="H92">
        <v>36</v>
      </c>
      <c r="I92">
        <v>5.0999999999999996</v>
      </c>
      <c r="J92">
        <v>8.4</v>
      </c>
      <c r="K92">
        <v>6.8</v>
      </c>
      <c r="L92">
        <v>7.8</v>
      </c>
      <c r="M92">
        <v>98</v>
      </c>
      <c r="N92">
        <v>128</v>
      </c>
      <c r="O92">
        <v>2.1</v>
      </c>
      <c r="P92">
        <v>2.8</v>
      </c>
      <c r="Q92">
        <v>0.5</v>
      </c>
      <c r="R92">
        <v>1.1000000000000001</v>
      </c>
      <c r="S92">
        <v>300</v>
      </c>
      <c r="T92">
        <v>360</v>
      </c>
      <c r="U92">
        <v>700</v>
      </c>
      <c r="V92">
        <v>1100</v>
      </c>
      <c r="W92">
        <v>110</v>
      </c>
      <c r="X92">
        <v>140</v>
      </c>
    </row>
    <row r="93" spans="1:24" x14ac:dyDescent="0.3">
      <c r="A93">
        <v>2216</v>
      </c>
      <c r="B93" t="s">
        <v>137</v>
      </c>
      <c r="D93">
        <v>2023</v>
      </c>
      <c r="E93" t="s">
        <v>132</v>
      </c>
      <c r="F93" t="s">
        <v>109</v>
      </c>
      <c r="G93">
        <v>20</v>
      </c>
      <c r="H93">
        <v>36</v>
      </c>
      <c r="I93">
        <v>5.0999999999999996</v>
      </c>
      <c r="J93">
        <v>10</v>
      </c>
      <c r="K93">
        <v>7.9</v>
      </c>
      <c r="L93">
        <v>8.1999999999999993</v>
      </c>
      <c r="M93">
        <v>168</v>
      </c>
      <c r="N93">
        <v>192</v>
      </c>
      <c r="O93">
        <v>2.2999999999999998</v>
      </c>
      <c r="P93">
        <v>2.8</v>
      </c>
      <c r="Q93">
        <v>0.6</v>
      </c>
      <c r="R93">
        <v>1.6</v>
      </c>
      <c r="S93">
        <v>360</v>
      </c>
      <c r="T93">
        <v>730</v>
      </c>
      <c r="U93">
        <v>1400</v>
      </c>
      <c r="V93">
        <v>1600</v>
      </c>
      <c r="W93">
        <v>120</v>
      </c>
      <c r="X93">
        <v>290</v>
      </c>
    </row>
    <row r="94" spans="1:24" x14ac:dyDescent="0.3">
      <c r="A94">
        <v>2221</v>
      </c>
      <c r="B94" t="s">
        <v>138</v>
      </c>
      <c r="D94">
        <v>2023</v>
      </c>
      <c r="E94" t="s">
        <v>132</v>
      </c>
      <c r="F94" t="s">
        <v>109</v>
      </c>
      <c r="G94">
        <v>22</v>
      </c>
      <c r="H94">
        <v>35</v>
      </c>
      <c r="I94">
        <v>5.4</v>
      </c>
      <c r="J94">
        <v>10.1</v>
      </c>
      <c r="K94">
        <v>7</v>
      </c>
      <c r="L94">
        <v>7.9</v>
      </c>
      <c r="M94">
        <v>102</v>
      </c>
      <c r="N94">
        <v>130</v>
      </c>
      <c r="O94">
        <v>2</v>
      </c>
      <c r="P94">
        <v>2.6</v>
      </c>
      <c r="Q94">
        <v>0.5</v>
      </c>
      <c r="R94">
        <v>1.7</v>
      </c>
      <c r="S94">
        <v>300</v>
      </c>
      <c r="T94">
        <v>360</v>
      </c>
      <c r="U94">
        <v>600</v>
      </c>
      <c r="V94">
        <v>1400</v>
      </c>
      <c r="W94">
        <v>95</v>
      </c>
      <c r="X94">
        <v>160</v>
      </c>
    </row>
    <row r="95" spans="1:24" x14ac:dyDescent="0.3">
      <c r="A95">
        <v>2209</v>
      </c>
      <c r="B95" t="s">
        <v>139</v>
      </c>
      <c r="D95">
        <v>2023</v>
      </c>
      <c r="E95" t="s">
        <v>132</v>
      </c>
      <c r="F95" t="s">
        <v>109</v>
      </c>
      <c r="G95">
        <v>22</v>
      </c>
      <c r="H95">
        <v>35</v>
      </c>
      <c r="I95">
        <v>5</v>
      </c>
      <c r="J95">
        <v>7.5</v>
      </c>
      <c r="K95">
        <v>6.7</v>
      </c>
      <c r="L95">
        <v>7.5</v>
      </c>
      <c r="M95">
        <v>97</v>
      </c>
      <c r="N95">
        <v>128</v>
      </c>
      <c r="O95">
        <v>1.6</v>
      </c>
      <c r="P95">
        <v>2.7</v>
      </c>
      <c r="Q95">
        <v>0.7</v>
      </c>
      <c r="R95">
        <v>1.5</v>
      </c>
      <c r="S95">
        <v>360</v>
      </c>
      <c r="T95">
        <v>910</v>
      </c>
      <c r="U95">
        <v>730</v>
      </c>
      <c r="V95">
        <v>1500</v>
      </c>
      <c r="W95">
        <v>110</v>
      </c>
      <c r="X95">
        <v>340</v>
      </c>
    </row>
    <row r="96" spans="1:24" x14ac:dyDescent="0.3">
      <c r="A96">
        <v>2212</v>
      </c>
      <c r="B96" t="s">
        <v>140</v>
      </c>
      <c r="D96">
        <v>2023</v>
      </c>
      <c r="E96" t="s">
        <v>132</v>
      </c>
      <c r="F96" t="s">
        <v>109</v>
      </c>
      <c r="G96">
        <v>21</v>
      </c>
      <c r="H96">
        <v>30</v>
      </c>
      <c r="I96">
        <v>6.8</v>
      </c>
      <c r="J96">
        <v>7.3</v>
      </c>
      <c r="K96">
        <v>6.8</v>
      </c>
      <c r="L96">
        <v>7.6</v>
      </c>
      <c r="M96">
        <v>138</v>
      </c>
      <c r="N96">
        <v>192</v>
      </c>
      <c r="O96">
        <v>2</v>
      </c>
      <c r="P96">
        <v>2.7</v>
      </c>
      <c r="Q96">
        <v>0.6</v>
      </c>
      <c r="R96">
        <v>1.7</v>
      </c>
      <c r="S96">
        <v>300</v>
      </c>
      <c r="T96">
        <v>620</v>
      </c>
      <c r="U96">
        <v>910</v>
      </c>
      <c r="V96">
        <v>1200</v>
      </c>
      <c r="W96">
        <v>95</v>
      </c>
      <c r="X96">
        <v>210</v>
      </c>
    </row>
    <row r="97" spans="1:24" x14ac:dyDescent="0.3">
      <c r="A97">
        <v>2227</v>
      </c>
      <c r="B97" t="s">
        <v>141</v>
      </c>
      <c r="D97">
        <v>2023</v>
      </c>
      <c r="E97" t="s">
        <v>132</v>
      </c>
      <c r="F97" t="s">
        <v>109</v>
      </c>
      <c r="G97">
        <v>21</v>
      </c>
      <c r="H97">
        <v>35</v>
      </c>
      <c r="I97">
        <v>5.7</v>
      </c>
      <c r="J97">
        <v>8.1</v>
      </c>
      <c r="K97">
        <v>6.7</v>
      </c>
      <c r="L97">
        <v>7.5</v>
      </c>
      <c r="M97">
        <v>88</v>
      </c>
      <c r="N97">
        <v>112</v>
      </c>
      <c r="O97">
        <v>2</v>
      </c>
      <c r="P97">
        <v>2.8</v>
      </c>
      <c r="Q97">
        <v>0.6</v>
      </c>
      <c r="R97">
        <v>1.1000000000000001</v>
      </c>
      <c r="S97">
        <v>300</v>
      </c>
      <c r="T97">
        <v>730</v>
      </c>
      <c r="U97">
        <v>600</v>
      </c>
      <c r="V97">
        <v>1500</v>
      </c>
      <c r="W97">
        <v>110</v>
      </c>
      <c r="X97">
        <v>280</v>
      </c>
    </row>
    <row r="98" spans="1:24" x14ac:dyDescent="0.3">
      <c r="A98">
        <v>2213</v>
      </c>
      <c r="B98" t="s">
        <v>142</v>
      </c>
      <c r="D98">
        <v>2023</v>
      </c>
      <c r="E98" t="s">
        <v>132</v>
      </c>
      <c r="F98" t="s">
        <v>109</v>
      </c>
      <c r="G98">
        <v>20</v>
      </c>
      <c r="H98">
        <v>34</v>
      </c>
      <c r="I98">
        <v>7</v>
      </c>
      <c r="J98">
        <v>7.3</v>
      </c>
      <c r="K98">
        <v>6.8</v>
      </c>
      <c r="L98">
        <v>7.5</v>
      </c>
      <c r="M98">
        <v>136</v>
      </c>
      <c r="N98">
        <v>178</v>
      </c>
      <c r="O98">
        <v>2</v>
      </c>
      <c r="P98">
        <v>2.5</v>
      </c>
      <c r="Q98">
        <v>0.9</v>
      </c>
      <c r="R98">
        <v>1.7</v>
      </c>
      <c r="S98">
        <v>300</v>
      </c>
      <c r="T98">
        <v>920</v>
      </c>
      <c r="U98">
        <v>730</v>
      </c>
      <c r="V98">
        <v>1600</v>
      </c>
      <c r="W98">
        <v>95</v>
      </c>
      <c r="X98">
        <v>290</v>
      </c>
    </row>
    <row r="99" spans="1:24" x14ac:dyDescent="0.3">
      <c r="A99">
        <v>1532</v>
      </c>
      <c r="B99" t="s">
        <v>143</v>
      </c>
      <c r="D99">
        <v>2023</v>
      </c>
      <c r="E99" t="s">
        <v>132</v>
      </c>
      <c r="F99" t="s">
        <v>109</v>
      </c>
      <c r="G99">
        <v>20</v>
      </c>
      <c r="H99">
        <v>32</v>
      </c>
      <c r="I99">
        <v>5.0999999999999996</v>
      </c>
      <c r="J99">
        <v>7.6</v>
      </c>
      <c r="K99">
        <v>6.9</v>
      </c>
      <c r="L99">
        <v>7.6</v>
      </c>
      <c r="M99">
        <v>102</v>
      </c>
      <c r="N99">
        <v>122</v>
      </c>
      <c r="O99">
        <v>1.8</v>
      </c>
      <c r="P99">
        <v>2.6</v>
      </c>
      <c r="Q99">
        <v>0.6</v>
      </c>
      <c r="R99">
        <v>1</v>
      </c>
      <c r="S99">
        <v>300</v>
      </c>
      <c r="T99">
        <v>360</v>
      </c>
      <c r="U99">
        <v>600</v>
      </c>
      <c r="V99">
        <v>910</v>
      </c>
      <c r="W99">
        <v>110</v>
      </c>
      <c r="X99">
        <v>140</v>
      </c>
    </row>
    <row r="100" spans="1:24" x14ac:dyDescent="0.3">
      <c r="A100">
        <v>3809</v>
      </c>
      <c r="B100" t="s">
        <v>144</v>
      </c>
      <c r="D100">
        <v>2023</v>
      </c>
      <c r="E100" t="s">
        <v>132</v>
      </c>
      <c r="F100" t="s">
        <v>109</v>
      </c>
      <c r="G100">
        <v>20</v>
      </c>
      <c r="H100">
        <v>31</v>
      </c>
      <c r="I100">
        <v>5</v>
      </c>
      <c r="J100">
        <v>7.7</v>
      </c>
      <c r="K100">
        <v>6.9</v>
      </c>
      <c r="L100">
        <v>7.8</v>
      </c>
      <c r="M100">
        <v>322</v>
      </c>
      <c r="N100">
        <v>364</v>
      </c>
      <c r="O100">
        <v>2.1</v>
      </c>
      <c r="P100">
        <v>2.8</v>
      </c>
      <c r="Q100">
        <v>0.7</v>
      </c>
      <c r="R100">
        <v>5</v>
      </c>
      <c r="S100">
        <v>300</v>
      </c>
      <c r="T100">
        <v>940</v>
      </c>
      <c r="U100">
        <v>1400</v>
      </c>
      <c r="V100">
        <v>2000</v>
      </c>
      <c r="W100">
        <v>95</v>
      </c>
      <c r="X100">
        <v>290</v>
      </c>
    </row>
    <row r="101" spans="1:24" x14ac:dyDescent="0.3">
      <c r="A101">
        <v>2223</v>
      </c>
      <c r="B101" t="s">
        <v>145</v>
      </c>
      <c r="D101">
        <v>2023</v>
      </c>
      <c r="E101" t="s">
        <v>132</v>
      </c>
      <c r="F101" t="s">
        <v>109</v>
      </c>
      <c r="G101">
        <v>22</v>
      </c>
      <c r="H101">
        <v>35</v>
      </c>
      <c r="I101">
        <v>5</v>
      </c>
      <c r="J101">
        <v>5.4</v>
      </c>
      <c r="K101">
        <v>6.9</v>
      </c>
      <c r="L101">
        <v>7.6</v>
      </c>
      <c r="M101">
        <v>94</v>
      </c>
      <c r="N101">
        <v>126</v>
      </c>
      <c r="O101">
        <v>1.8</v>
      </c>
      <c r="P101">
        <v>2.5</v>
      </c>
      <c r="Q101">
        <v>0.7</v>
      </c>
      <c r="R101">
        <v>1.7</v>
      </c>
      <c r="S101">
        <v>300</v>
      </c>
      <c r="T101">
        <v>620</v>
      </c>
      <c r="U101">
        <v>720</v>
      </c>
      <c r="V101">
        <v>1600</v>
      </c>
      <c r="W101">
        <v>95</v>
      </c>
      <c r="X101">
        <v>210</v>
      </c>
    </row>
    <row r="102" spans="1:24" x14ac:dyDescent="0.3">
      <c r="A102">
        <v>4006</v>
      </c>
      <c r="B102" t="s">
        <v>146</v>
      </c>
      <c r="D102">
        <v>2023</v>
      </c>
      <c r="E102" t="s">
        <v>132</v>
      </c>
      <c r="F102" t="s">
        <v>109</v>
      </c>
      <c r="G102">
        <v>22</v>
      </c>
      <c r="H102">
        <v>35</v>
      </c>
      <c r="I102">
        <v>5.6</v>
      </c>
      <c r="J102">
        <v>7.6</v>
      </c>
      <c r="K102">
        <v>6.7</v>
      </c>
      <c r="L102">
        <v>7.4</v>
      </c>
      <c r="M102">
        <v>90</v>
      </c>
      <c r="N102">
        <v>120</v>
      </c>
      <c r="O102">
        <v>2.1</v>
      </c>
      <c r="P102">
        <v>2.6</v>
      </c>
      <c r="Q102">
        <v>0.6</v>
      </c>
      <c r="R102">
        <v>1.1000000000000001</v>
      </c>
      <c r="S102">
        <v>300</v>
      </c>
      <c r="T102">
        <v>360</v>
      </c>
      <c r="U102">
        <v>720</v>
      </c>
      <c r="V102">
        <v>730</v>
      </c>
      <c r="W102">
        <v>100</v>
      </c>
      <c r="X102">
        <v>140</v>
      </c>
    </row>
    <row r="103" spans="1:24" x14ac:dyDescent="0.3">
      <c r="A103">
        <v>2211</v>
      </c>
      <c r="B103" t="s">
        <v>147</v>
      </c>
      <c r="D103">
        <v>2023</v>
      </c>
      <c r="E103" t="s">
        <v>132</v>
      </c>
      <c r="F103" t="s">
        <v>109</v>
      </c>
      <c r="G103">
        <v>20</v>
      </c>
      <c r="H103">
        <v>34</v>
      </c>
      <c r="I103">
        <v>6.8</v>
      </c>
      <c r="J103">
        <v>7.2</v>
      </c>
      <c r="K103">
        <v>6.9</v>
      </c>
      <c r="L103">
        <v>7.6</v>
      </c>
      <c r="M103">
        <v>186</v>
      </c>
      <c r="N103">
        <v>240</v>
      </c>
      <c r="O103">
        <v>2.2000000000000002</v>
      </c>
      <c r="P103">
        <v>2.7</v>
      </c>
      <c r="Q103">
        <v>0.6</v>
      </c>
      <c r="R103">
        <v>1.6</v>
      </c>
      <c r="S103">
        <v>300</v>
      </c>
      <c r="T103">
        <v>730</v>
      </c>
      <c r="U103">
        <v>600</v>
      </c>
      <c r="V103">
        <v>1500</v>
      </c>
      <c r="W103">
        <v>95</v>
      </c>
      <c r="X103">
        <v>240</v>
      </c>
    </row>
    <row r="104" spans="1:24" x14ac:dyDescent="0.3">
      <c r="A104">
        <v>2222</v>
      </c>
      <c r="B104" t="s">
        <v>148</v>
      </c>
      <c r="D104">
        <v>2023</v>
      </c>
      <c r="E104" t="s">
        <v>132</v>
      </c>
      <c r="F104" t="s">
        <v>109</v>
      </c>
      <c r="G104">
        <v>23</v>
      </c>
      <c r="H104">
        <v>38</v>
      </c>
      <c r="I104">
        <v>5.0999999999999996</v>
      </c>
      <c r="J104">
        <v>5.4</v>
      </c>
      <c r="K104">
        <v>6.9</v>
      </c>
      <c r="L104">
        <v>7.5</v>
      </c>
      <c r="M104">
        <v>132</v>
      </c>
      <c r="N104">
        <v>156</v>
      </c>
      <c r="O104">
        <v>2</v>
      </c>
      <c r="P104">
        <v>2.5</v>
      </c>
      <c r="Q104">
        <v>0.7</v>
      </c>
      <c r="R104">
        <v>2</v>
      </c>
      <c r="S104">
        <v>300</v>
      </c>
      <c r="T104">
        <v>620</v>
      </c>
      <c r="U104">
        <v>910</v>
      </c>
      <c r="V104">
        <v>1300</v>
      </c>
      <c r="W104">
        <v>93</v>
      </c>
      <c r="X104">
        <v>210</v>
      </c>
    </row>
    <row r="105" spans="1:24" x14ac:dyDescent="0.3">
      <c r="A105">
        <v>2224</v>
      </c>
      <c r="B105" t="s">
        <v>149</v>
      </c>
      <c r="D105">
        <v>2023</v>
      </c>
      <c r="E105" t="s">
        <v>132</v>
      </c>
      <c r="F105" t="s">
        <v>109</v>
      </c>
      <c r="G105">
        <v>22</v>
      </c>
      <c r="H105">
        <v>35</v>
      </c>
      <c r="I105">
        <v>5</v>
      </c>
      <c r="J105">
        <v>5.5</v>
      </c>
      <c r="K105">
        <v>6.9</v>
      </c>
      <c r="L105">
        <v>7.4</v>
      </c>
      <c r="M105">
        <v>110</v>
      </c>
      <c r="N105">
        <v>150</v>
      </c>
      <c r="O105">
        <v>2</v>
      </c>
      <c r="P105">
        <v>2.6</v>
      </c>
      <c r="Q105">
        <v>0.7</v>
      </c>
      <c r="R105">
        <v>1.8</v>
      </c>
      <c r="S105">
        <v>300</v>
      </c>
      <c r="T105">
        <v>620</v>
      </c>
      <c r="U105">
        <v>730</v>
      </c>
      <c r="V105">
        <v>1400</v>
      </c>
      <c r="W105">
        <v>95</v>
      </c>
      <c r="X105">
        <v>240</v>
      </c>
    </row>
    <row r="106" spans="1:24" x14ac:dyDescent="0.3">
      <c r="A106">
        <v>2210</v>
      </c>
      <c r="B106" t="s">
        <v>150</v>
      </c>
      <c r="D106">
        <v>2023</v>
      </c>
      <c r="E106" t="s">
        <v>132</v>
      </c>
      <c r="F106" t="s">
        <v>109</v>
      </c>
      <c r="G106">
        <v>23</v>
      </c>
      <c r="H106">
        <v>36</v>
      </c>
      <c r="I106">
        <v>5.3</v>
      </c>
      <c r="J106">
        <v>7.9</v>
      </c>
      <c r="K106">
        <v>6.9</v>
      </c>
      <c r="L106">
        <v>7.9</v>
      </c>
      <c r="M106">
        <v>90</v>
      </c>
      <c r="N106">
        <v>130</v>
      </c>
      <c r="O106">
        <v>2</v>
      </c>
      <c r="P106">
        <v>2.7</v>
      </c>
      <c r="Q106">
        <v>0.6</v>
      </c>
      <c r="R106">
        <v>1.4</v>
      </c>
      <c r="S106">
        <v>300</v>
      </c>
      <c r="T106">
        <v>730</v>
      </c>
      <c r="U106">
        <v>720</v>
      </c>
      <c r="V106">
        <v>1100</v>
      </c>
      <c r="W106">
        <v>110</v>
      </c>
      <c r="X106">
        <v>270</v>
      </c>
    </row>
    <row r="107" spans="1:24" x14ac:dyDescent="0.3">
      <c r="A107">
        <v>3806</v>
      </c>
      <c r="B107" t="s">
        <v>151</v>
      </c>
      <c r="D107">
        <v>2023</v>
      </c>
      <c r="E107" t="s">
        <v>132</v>
      </c>
      <c r="F107" t="s">
        <v>109</v>
      </c>
      <c r="G107">
        <v>22</v>
      </c>
      <c r="H107">
        <v>24</v>
      </c>
      <c r="I107">
        <v>5.0999999999999996</v>
      </c>
      <c r="J107">
        <v>6.2</v>
      </c>
      <c r="K107">
        <v>6.5</v>
      </c>
      <c r="L107">
        <v>7.2</v>
      </c>
      <c r="M107">
        <v>120</v>
      </c>
      <c r="N107">
        <v>156</v>
      </c>
      <c r="O107">
        <v>2.2999999999999998</v>
      </c>
      <c r="P107">
        <v>2.9</v>
      </c>
      <c r="Q107">
        <v>0.7</v>
      </c>
      <c r="R107">
        <v>1.1000000000000001</v>
      </c>
      <c r="S107">
        <v>300</v>
      </c>
      <c r="T107">
        <v>620</v>
      </c>
      <c r="U107">
        <v>910</v>
      </c>
      <c r="V107">
        <v>1400</v>
      </c>
      <c r="W107">
        <v>95</v>
      </c>
      <c r="X107">
        <v>210</v>
      </c>
    </row>
    <row r="108" spans="1:24" x14ac:dyDescent="0.3">
      <c r="A108">
        <v>2226</v>
      </c>
      <c r="B108" t="s">
        <v>152</v>
      </c>
      <c r="D108">
        <v>2023</v>
      </c>
      <c r="E108" t="s">
        <v>132</v>
      </c>
      <c r="F108" t="s">
        <v>109</v>
      </c>
      <c r="G108">
        <v>21</v>
      </c>
      <c r="H108">
        <v>34</v>
      </c>
      <c r="I108">
        <v>5.2</v>
      </c>
      <c r="J108">
        <v>7.9</v>
      </c>
      <c r="K108">
        <v>6.8</v>
      </c>
      <c r="L108">
        <v>7.6</v>
      </c>
      <c r="M108">
        <v>70</v>
      </c>
      <c r="N108">
        <v>120</v>
      </c>
      <c r="O108">
        <v>2</v>
      </c>
      <c r="P108">
        <v>2.8</v>
      </c>
      <c r="Q108">
        <v>0.6</v>
      </c>
      <c r="R108">
        <v>1.3</v>
      </c>
      <c r="S108">
        <v>300</v>
      </c>
      <c r="T108">
        <v>360</v>
      </c>
      <c r="U108">
        <v>730</v>
      </c>
      <c r="V108">
        <v>1100</v>
      </c>
      <c r="W108">
        <v>100</v>
      </c>
      <c r="X108">
        <v>1100</v>
      </c>
    </row>
    <row r="109" spans="1:24" x14ac:dyDescent="0.3">
      <c r="A109">
        <v>2217</v>
      </c>
      <c r="B109" t="s">
        <v>153</v>
      </c>
      <c r="D109">
        <v>2023</v>
      </c>
      <c r="E109" t="s">
        <v>132</v>
      </c>
      <c r="F109" t="s">
        <v>109</v>
      </c>
      <c r="G109">
        <v>20</v>
      </c>
      <c r="H109">
        <v>32</v>
      </c>
      <c r="I109">
        <v>5</v>
      </c>
      <c r="J109">
        <v>8.5</v>
      </c>
      <c r="K109">
        <v>6.8</v>
      </c>
      <c r="L109">
        <v>7.6</v>
      </c>
      <c r="M109">
        <v>240</v>
      </c>
      <c r="N109">
        <v>278</v>
      </c>
      <c r="O109">
        <v>2.2000000000000002</v>
      </c>
      <c r="P109">
        <v>2.8</v>
      </c>
      <c r="Q109">
        <v>0.6</v>
      </c>
      <c r="R109">
        <v>1.8</v>
      </c>
      <c r="S109">
        <v>300</v>
      </c>
      <c r="T109">
        <v>910</v>
      </c>
      <c r="U109">
        <v>1100</v>
      </c>
      <c r="V109">
        <v>2000</v>
      </c>
      <c r="W109">
        <v>95</v>
      </c>
      <c r="X109">
        <v>290</v>
      </c>
    </row>
    <row r="110" spans="1:24" x14ac:dyDescent="0.3">
      <c r="A110">
        <v>3775</v>
      </c>
      <c r="B110" t="s">
        <v>154</v>
      </c>
      <c r="D110">
        <v>2023</v>
      </c>
      <c r="E110" t="s">
        <v>132</v>
      </c>
      <c r="F110" t="s">
        <v>109</v>
      </c>
      <c r="G110">
        <v>21</v>
      </c>
      <c r="H110">
        <v>35</v>
      </c>
      <c r="I110">
        <v>5.2</v>
      </c>
      <c r="J110">
        <v>8.1</v>
      </c>
      <c r="K110">
        <v>6.6</v>
      </c>
      <c r="L110">
        <v>7.7</v>
      </c>
      <c r="M110">
        <v>96</v>
      </c>
      <c r="N110">
        <v>112</v>
      </c>
      <c r="O110">
        <v>1.9</v>
      </c>
      <c r="P110">
        <v>2.5</v>
      </c>
      <c r="Q110">
        <v>0.7</v>
      </c>
      <c r="R110">
        <v>1</v>
      </c>
      <c r="S110">
        <v>300</v>
      </c>
      <c r="T110">
        <v>730</v>
      </c>
      <c r="U110">
        <v>730</v>
      </c>
      <c r="V110">
        <v>1500</v>
      </c>
      <c r="W110">
        <v>110</v>
      </c>
      <c r="X110">
        <v>280</v>
      </c>
    </row>
    <row r="111" spans="1:24" x14ac:dyDescent="0.3">
      <c r="A111">
        <v>4334</v>
      </c>
      <c r="B111" t="s">
        <v>155</v>
      </c>
      <c r="D111">
        <v>2023</v>
      </c>
      <c r="E111" t="s">
        <v>132</v>
      </c>
      <c r="F111" t="s">
        <v>109</v>
      </c>
      <c r="G111">
        <v>22</v>
      </c>
      <c r="H111">
        <v>36</v>
      </c>
      <c r="I111">
        <v>5</v>
      </c>
      <c r="J111">
        <v>7.8</v>
      </c>
      <c r="K111">
        <v>6.6</v>
      </c>
      <c r="L111">
        <v>7.4</v>
      </c>
      <c r="M111">
        <v>80</v>
      </c>
      <c r="N111">
        <v>108</v>
      </c>
      <c r="O111">
        <v>2</v>
      </c>
      <c r="P111">
        <v>2.6</v>
      </c>
      <c r="Q111">
        <v>0.7</v>
      </c>
      <c r="R111">
        <v>1.2</v>
      </c>
      <c r="S111">
        <v>300</v>
      </c>
      <c r="T111">
        <v>360</v>
      </c>
      <c r="U111">
        <v>620</v>
      </c>
      <c r="V111">
        <v>910</v>
      </c>
      <c r="W111">
        <v>110</v>
      </c>
      <c r="X111">
        <v>140</v>
      </c>
    </row>
    <row r="112" spans="1:24" x14ac:dyDescent="0.3">
      <c r="A112">
        <v>4349</v>
      </c>
      <c r="B112" t="s">
        <v>156</v>
      </c>
      <c r="D112">
        <v>2021</v>
      </c>
      <c r="E112" t="s">
        <v>69</v>
      </c>
      <c r="F112" t="s">
        <v>70</v>
      </c>
      <c r="G112">
        <v>21</v>
      </c>
      <c r="H112">
        <v>34</v>
      </c>
      <c r="I112">
        <v>5</v>
      </c>
      <c r="J112">
        <v>8</v>
      </c>
      <c r="K112">
        <v>7.2</v>
      </c>
      <c r="L112">
        <v>8.1</v>
      </c>
      <c r="M112">
        <v>25900</v>
      </c>
      <c r="N112">
        <v>53500</v>
      </c>
      <c r="O112">
        <v>1.6</v>
      </c>
      <c r="P112">
        <v>2.4</v>
      </c>
      <c r="Q112">
        <v>0.4</v>
      </c>
      <c r="R112">
        <v>1.7</v>
      </c>
      <c r="S112">
        <v>4</v>
      </c>
      <c r="T112">
        <v>7</v>
      </c>
      <c r="U112">
        <v>64</v>
      </c>
      <c r="V112">
        <v>95</v>
      </c>
    </row>
    <row r="113" spans="1:22" x14ac:dyDescent="0.3">
      <c r="A113">
        <v>4352</v>
      </c>
      <c r="B113" t="s">
        <v>157</v>
      </c>
      <c r="D113">
        <v>2021</v>
      </c>
      <c r="E113" t="s">
        <v>69</v>
      </c>
      <c r="F113" t="s">
        <v>70</v>
      </c>
      <c r="G113">
        <v>25</v>
      </c>
      <c r="H113">
        <v>32</v>
      </c>
      <c r="I113">
        <v>5.3</v>
      </c>
      <c r="J113">
        <v>8.5</v>
      </c>
      <c r="K113">
        <v>7.4</v>
      </c>
      <c r="L113">
        <v>8.1</v>
      </c>
      <c r="M113">
        <v>34700</v>
      </c>
      <c r="N113">
        <v>53500</v>
      </c>
      <c r="O113">
        <v>1.6</v>
      </c>
      <c r="P113">
        <v>2.5</v>
      </c>
      <c r="Q113">
        <v>0.3</v>
      </c>
      <c r="R113">
        <v>1.8</v>
      </c>
      <c r="S113">
        <v>4</v>
      </c>
      <c r="T113">
        <v>7</v>
      </c>
      <c r="U113">
        <v>64</v>
      </c>
      <c r="V113">
        <v>95</v>
      </c>
    </row>
    <row r="114" spans="1:22" x14ac:dyDescent="0.3">
      <c r="A114">
        <v>4357</v>
      </c>
      <c r="B114" t="s">
        <v>73</v>
      </c>
      <c r="D114">
        <v>2021</v>
      </c>
      <c r="E114" t="s">
        <v>75</v>
      </c>
      <c r="F114" t="s">
        <v>70</v>
      </c>
      <c r="G114">
        <v>26</v>
      </c>
      <c r="H114">
        <v>29</v>
      </c>
      <c r="I114">
        <v>5</v>
      </c>
      <c r="J114">
        <v>8.1999999999999993</v>
      </c>
      <c r="K114">
        <v>7.1</v>
      </c>
      <c r="L114">
        <v>8.5</v>
      </c>
      <c r="M114">
        <v>36800</v>
      </c>
      <c r="N114">
        <v>53500</v>
      </c>
      <c r="O114">
        <v>1.5</v>
      </c>
      <c r="P114">
        <v>2.2000000000000002</v>
      </c>
      <c r="Q114">
        <v>0.3</v>
      </c>
      <c r="R114">
        <v>1.3</v>
      </c>
      <c r="S114">
        <v>4</v>
      </c>
      <c r="T114">
        <v>9</v>
      </c>
      <c r="U114">
        <v>64</v>
      </c>
      <c r="V114">
        <v>120</v>
      </c>
    </row>
    <row r="115" spans="1:22" x14ac:dyDescent="0.3">
      <c r="A115">
        <v>4361</v>
      </c>
      <c r="B115" t="s">
        <v>76</v>
      </c>
      <c r="C115" t="s">
        <v>77</v>
      </c>
      <c r="D115">
        <v>2021</v>
      </c>
      <c r="E115" t="s">
        <v>75</v>
      </c>
      <c r="F115" t="s">
        <v>70</v>
      </c>
      <c r="G115">
        <v>24</v>
      </c>
      <c r="H115">
        <v>29</v>
      </c>
      <c r="I115">
        <v>3.2</v>
      </c>
      <c r="J115">
        <v>7</v>
      </c>
      <c r="K115">
        <v>7</v>
      </c>
      <c r="L115">
        <v>7.9</v>
      </c>
      <c r="M115">
        <v>30600</v>
      </c>
      <c r="N115">
        <v>53100</v>
      </c>
      <c r="O115" t="s">
        <v>38</v>
      </c>
      <c r="P115">
        <v>2.8</v>
      </c>
      <c r="Q115">
        <v>0.3</v>
      </c>
      <c r="R115">
        <v>3</v>
      </c>
      <c r="S115">
        <v>3</v>
      </c>
      <c r="T115">
        <v>7</v>
      </c>
      <c r="U115">
        <v>49</v>
      </c>
      <c r="V115">
        <v>93</v>
      </c>
    </row>
    <row r="116" spans="1:22" x14ac:dyDescent="0.3">
      <c r="A116">
        <v>4362</v>
      </c>
      <c r="B116" t="s">
        <v>78</v>
      </c>
      <c r="D116">
        <v>2021</v>
      </c>
      <c r="E116" t="s">
        <v>79</v>
      </c>
      <c r="F116" t="s">
        <v>70</v>
      </c>
      <c r="G116">
        <v>23</v>
      </c>
      <c r="H116">
        <v>29</v>
      </c>
      <c r="I116">
        <v>3.8</v>
      </c>
      <c r="J116">
        <v>7.2</v>
      </c>
      <c r="K116">
        <v>7</v>
      </c>
      <c r="L116">
        <v>8</v>
      </c>
      <c r="M116">
        <v>1120</v>
      </c>
      <c r="N116">
        <v>50800</v>
      </c>
      <c r="O116">
        <v>1.9</v>
      </c>
      <c r="P116">
        <v>3</v>
      </c>
      <c r="Q116">
        <v>0.3</v>
      </c>
      <c r="R116">
        <v>3.7</v>
      </c>
      <c r="S116">
        <v>4</v>
      </c>
      <c r="T116">
        <v>15</v>
      </c>
      <c r="U116">
        <v>64</v>
      </c>
      <c r="V116">
        <v>120</v>
      </c>
    </row>
    <row r="117" spans="1:22" x14ac:dyDescent="0.3">
      <c r="A117">
        <v>4363</v>
      </c>
      <c r="B117" t="s">
        <v>80</v>
      </c>
      <c r="D117">
        <v>2021</v>
      </c>
      <c r="E117" t="s">
        <v>79</v>
      </c>
      <c r="F117" t="s">
        <v>70</v>
      </c>
      <c r="G117">
        <v>23</v>
      </c>
      <c r="H117">
        <v>30</v>
      </c>
      <c r="I117">
        <v>2</v>
      </c>
      <c r="J117">
        <v>6.6</v>
      </c>
      <c r="K117">
        <v>7</v>
      </c>
      <c r="L117">
        <v>8</v>
      </c>
      <c r="M117">
        <v>1020</v>
      </c>
      <c r="N117">
        <v>46900</v>
      </c>
      <c r="O117">
        <v>2.2000000000000002</v>
      </c>
      <c r="P117">
        <v>5.8</v>
      </c>
      <c r="Q117">
        <v>0.3</v>
      </c>
      <c r="R117">
        <v>3.5</v>
      </c>
      <c r="S117">
        <v>4</v>
      </c>
      <c r="T117">
        <v>9</v>
      </c>
      <c r="U117">
        <v>75</v>
      </c>
      <c r="V117">
        <v>120</v>
      </c>
    </row>
    <row r="118" spans="1:22" x14ac:dyDescent="0.3">
      <c r="A118">
        <v>4371</v>
      </c>
      <c r="B118" t="s">
        <v>158</v>
      </c>
      <c r="D118">
        <v>2021</v>
      </c>
      <c r="E118" t="s">
        <v>69</v>
      </c>
      <c r="F118" t="s">
        <v>70</v>
      </c>
      <c r="G118">
        <v>24</v>
      </c>
      <c r="H118">
        <v>30</v>
      </c>
      <c r="I118">
        <v>4.5</v>
      </c>
      <c r="J118">
        <v>7.8</v>
      </c>
      <c r="K118">
        <v>7</v>
      </c>
      <c r="L118">
        <v>8.1999999999999993</v>
      </c>
      <c r="M118">
        <v>5030</v>
      </c>
      <c r="N118">
        <v>51500</v>
      </c>
      <c r="O118">
        <v>1.5</v>
      </c>
      <c r="P118">
        <v>3.5</v>
      </c>
      <c r="Q118">
        <v>0.4</v>
      </c>
      <c r="R118">
        <v>2.2000000000000002</v>
      </c>
      <c r="S118">
        <v>4</v>
      </c>
      <c r="T118">
        <v>7</v>
      </c>
      <c r="U118">
        <v>64</v>
      </c>
      <c r="V118">
        <v>120</v>
      </c>
    </row>
    <row r="119" spans="1:22" x14ac:dyDescent="0.3">
      <c r="A119">
        <v>4378</v>
      </c>
      <c r="B119" t="s">
        <v>159</v>
      </c>
      <c r="C119" t="s">
        <v>160</v>
      </c>
      <c r="D119">
        <v>2021</v>
      </c>
      <c r="E119" t="s">
        <v>75</v>
      </c>
      <c r="F119" t="s">
        <v>70</v>
      </c>
      <c r="G119">
        <v>25</v>
      </c>
      <c r="H119">
        <v>30</v>
      </c>
      <c r="I119">
        <v>3.4</v>
      </c>
      <c r="J119">
        <v>5.3</v>
      </c>
      <c r="K119">
        <v>7</v>
      </c>
      <c r="L119">
        <v>7.8</v>
      </c>
      <c r="M119">
        <v>35800</v>
      </c>
      <c r="N119">
        <v>56900</v>
      </c>
      <c r="O119">
        <v>2</v>
      </c>
      <c r="P119">
        <v>2.8</v>
      </c>
      <c r="Q119">
        <v>0.8</v>
      </c>
      <c r="R119">
        <v>1.3</v>
      </c>
      <c r="S119">
        <v>3</v>
      </c>
      <c r="T119">
        <v>3</v>
      </c>
      <c r="U119">
        <v>43</v>
      </c>
      <c r="V119">
        <v>120</v>
      </c>
    </row>
    <row r="120" spans="1:22" x14ac:dyDescent="0.3">
      <c r="A120">
        <v>4383</v>
      </c>
      <c r="B120" t="s">
        <v>161</v>
      </c>
      <c r="D120">
        <v>2021</v>
      </c>
      <c r="E120" t="s">
        <v>69</v>
      </c>
      <c r="F120" t="s">
        <v>70</v>
      </c>
      <c r="G120">
        <v>21</v>
      </c>
      <c r="H120">
        <v>25</v>
      </c>
      <c r="I120">
        <v>3.6</v>
      </c>
      <c r="J120">
        <v>5.3</v>
      </c>
      <c r="K120">
        <v>7.1</v>
      </c>
      <c r="L120">
        <v>8</v>
      </c>
      <c r="M120">
        <v>32900</v>
      </c>
      <c r="N120">
        <v>55700</v>
      </c>
      <c r="O120">
        <v>2</v>
      </c>
      <c r="P120">
        <v>2.8</v>
      </c>
      <c r="Q120">
        <v>0.9</v>
      </c>
      <c r="R120">
        <v>2.2999999999999998</v>
      </c>
      <c r="S120">
        <v>3</v>
      </c>
      <c r="T120">
        <v>3</v>
      </c>
      <c r="U120">
        <v>43</v>
      </c>
      <c r="V120">
        <v>120</v>
      </c>
    </row>
    <row r="121" spans="1:22" x14ac:dyDescent="0.3">
      <c r="A121">
        <v>4385</v>
      </c>
      <c r="B121" t="s">
        <v>84</v>
      </c>
      <c r="D121">
        <v>2021</v>
      </c>
      <c r="E121" t="s">
        <v>75</v>
      </c>
      <c r="F121" t="s">
        <v>70</v>
      </c>
      <c r="G121">
        <v>22</v>
      </c>
      <c r="H121">
        <v>25</v>
      </c>
      <c r="I121">
        <v>3.6</v>
      </c>
      <c r="J121">
        <v>5.9</v>
      </c>
      <c r="K121">
        <v>7.1</v>
      </c>
      <c r="L121">
        <v>8</v>
      </c>
      <c r="M121">
        <v>34900</v>
      </c>
      <c r="N121">
        <v>56200</v>
      </c>
      <c r="O121">
        <v>2.2000000000000002</v>
      </c>
      <c r="P121">
        <v>2.8</v>
      </c>
      <c r="Q121">
        <v>0.8</v>
      </c>
      <c r="R121">
        <v>1.4</v>
      </c>
      <c r="S121">
        <v>3</v>
      </c>
      <c r="T121">
        <v>3</v>
      </c>
      <c r="U121">
        <v>23</v>
      </c>
      <c r="V121">
        <v>93</v>
      </c>
    </row>
    <row r="122" spans="1:22" x14ac:dyDescent="0.3">
      <c r="A122">
        <v>4386</v>
      </c>
      <c r="B122" t="s">
        <v>162</v>
      </c>
      <c r="C122" t="s">
        <v>86</v>
      </c>
      <c r="D122">
        <v>2021</v>
      </c>
      <c r="E122" t="s">
        <v>75</v>
      </c>
      <c r="F122" t="s">
        <v>70</v>
      </c>
      <c r="G122">
        <v>22</v>
      </c>
      <c r="H122">
        <v>25</v>
      </c>
      <c r="I122">
        <v>3.5</v>
      </c>
      <c r="J122">
        <v>5.7</v>
      </c>
      <c r="K122">
        <v>6.8</v>
      </c>
      <c r="L122">
        <v>8</v>
      </c>
      <c r="M122">
        <v>35600</v>
      </c>
      <c r="N122">
        <v>56400</v>
      </c>
      <c r="O122">
        <v>2.4</v>
      </c>
      <c r="P122">
        <v>2.8</v>
      </c>
      <c r="Q122">
        <v>0.8</v>
      </c>
      <c r="R122">
        <v>1.6</v>
      </c>
      <c r="S122">
        <v>3</v>
      </c>
      <c r="T122">
        <v>3</v>
      </c>
      <c r="U122">
        <v>23</v>
      </c>
      <c r="V122">
        <v>120</v>
      </c>
    </row>
    <row r="123" spans="1:22" x14ac:dyDescent="0.3">
      <c r="A123">
        <v>4387</v>
      </c>
      <c r="B123" t="s">
        <v>87</v>
      </c>
      <c r="D123">
        <v>2021</v>
      </c>
      <c r="E123" t="s">
        <v>69</v>
      </c>
      <c r="F123" t="s">
        <v>70</v>
      </c>
      <c r="G123">
        <v>18</v>
      </c>
      <c r="H123">
        <v>23</v>
      </c>
      <c r="I123">
        <v>3.7</v>
      </c>
      <c r="J123">
        <v>5.6</v>
      </c>
      <c r="K123">
        <v>7.1</v>
      </c>
      <c r="L123">
        <v>8</v>
      </c>
      <c r="M123">
        <v>34900</v>
      </c>
      <c r="N123">
        <v>55700</v>
      </c>
      <c r="O123">
        <v>2.4</v>
      </c>
      <c r="P123">
        <v>2.8</v>
      </c>
      <c r="Q123">
        <v>1</v>
      </c>
      <c r="R123">
        <v>1.3</v>
      </c>
      <c r="S123">
        <v>3</v>
      </c>
      <c r="T123">
        <v>3</v>
      </c>
      <c r="U123">
        <v>23</v>
      </c>
      <c r="V123">
        <v>120</v>
      </c>
    </row>
    <row r="124" spans="1:22" x14ac:dyDescent="0.3">
      <c r="A124">
        <v>2267</v>
      </c>
      <c r="B124" t="s">
        <v>163</v>
      </c>
      <c r="D124">
        <v>2021</v>
      </c>
      <c r="E124" t="s">
        <v>164</v>
      </c>
      <c r="F124" t="s">
        <v>89</v>
      </c>
      <c r="G124">
        <v>25</v>
      </c>
      <c r="H124">
        <v>32</v>
      </c>
      <c r="I124">
        <v>4.2</v>
      </c>
      <c r="J124">
        <v>8</v>
      </c>
      <c r="K124">
        <v>6.6</v>
      </c>
      <c r="L124">
        <v>7.7</v>
      </c>
      <c r="M124">
        <v>311</v>
      </c>
      <c r="N124">
        <v>51530</v>
      </c>
      <c r="O124" t="s">
        <v>38</v>
      </c>
      <c r="P124">
        <v>2.4</v>
      </c>
      <c r="Q124">
        <v>0.3</v>
      </c>
      <c r="R124">
        <v>3.8</v>
      </c>
      <c r="S124">
        <v>230</v>
      </c>
      <c r="T124">
        <v>2300</v>
      </c>
      <c r="U124">
        <v>1100</v>
      </c>
      <c r="V124">
        <v>4900</v>
      </c>
    </row>
    <row r="125" spans="1:22" x14ac:dyDescent="0.3">
      <c r="A125">
        <v>4013</v>
      </c>
      <c r="B125" t="s">
        <v>88</v>
      </c>
      <c r="D125">
        <v>2021</v>
      </c>
      <c r="E125" t="s">
        <v>75</v>
      </c>
      <c r="F125" t="s">
        <v>89</v>
      </c>
      <c r="G125">
        <v>27</v>
      </c>
      <c r="H125">
        <v>31</v>
      </c>
      <c r="I125">
        <v>6.4</v>
      </c>
      <c r="J125">
        <v>7.7</v>
      </c>
      <c r="K125">
        <v>7.6</v>
      </c>
      <c r="L125">
        <v>8.1999999999999993</v>
      </c>
      <c r="M125">
        <v>26000</v>
      </c>
      <c r="N125">
        <v>61900</v>
      </c>
      <c r="O125" t="s">
        <v>38</v>
      </c>
      <c r="P125">
        <v>1.9</v>
      </c>
      <c r="Q125">
        <v>0.3</v>
      </c>
      <c r="R125">
        <v>0.5</v>
      </c>
      <c r="S125">
        <v>13</v>
      </c>
      <c r="T125">
        <v>240</v>
      </c>
      <c r="U125">
        <v>49</v>
      </c>
      <c r="V125">
        <v>920</v>
      </c>
    </row>
    <row r="126" spans="1:22" x14ac:dyDescent="0.3">
      <c r="A126">
        <v>4014</v>
      </c>
      <c r="B126" t="s">
        <v>90</v>
      </c>
      <c r="D126">
        <v>2021</v>
      </c>
      <c r="E126" t="s">
        <v>75</v>
      </c>
      <c r="F126" t="s">
        <v>89</v>
      </c>
      <c r="G126">
        <v>27</v>
      </c>
      <c r="H126">
        <v>29</v>
      </c>
      <c r="I126">
        <v>6</v>
      </c>
      <c r="J126">
        <v>7.5</v>
      </c>
      <c r="K126">
        <v>7</v>
      </c>
      <c r="L126">
        <v>8</v>
      </c>
      <c r="M126">
        <v>18900</v>
      </c>
      <c r="N126">
        <v>57680</v>
      </c>
      <c r="O126" t="s">
        <v>38</v>
      </c>
      <c r="P126">
        <v>2</v>
      </c>
      <c r="Q126">
        <v>0.3</v>
      </c>
      <c r="R126">
        <v>0.8</v>
      </c>
      <c r="S126">
        <v>23</v>
      </c>
      <c r="T126">
        <v>240</v>
      </c>
      <c r="U126">
        <v>33</v>
      </c>
      <c r="V126">
        <v>350</v>
      </c>
    </row>
    <row r="127" spans="1:22" x14ac:dyDescent="0.3">
      <c r="A127">
        <v>4015</v>
      </c>
      <c r="B127" t="s">
        <v>91</v>
      </c>
      <c r="D127">
        <v>2021</v>
      </c>
      <c r="E127" t="s">
        <v>75</v>
      </c>
      <c r="F127" t="s">
        <v>89</v>
      </c>
      <c r="G127">
        <v>27</v>
      </c>
      <c r="H127">
        <v>30</v>
      </c>
      <c r="I127">
        <v>6.1</v>
      </c>
      <c r="J127">
        <v>7</v>
      </c>
      <c r="K127">
        <v>6.5</v>
      </c>
      <c r="L127">
        <v>7.9</v>
      </c>
      <c r="M127">
        <v>31300</v>
      </c>
      <c r="N127">
        <v>61250</v>
      </c>
      <c r="O127">
        <v>1.1000000000000001</v>
      </c>
      <c r="P127">
        <v>1.9</v>
      </c>
      <c r="Q127">
        <v>0.3</v>
      </c>
      <c r="R127">
        <v>0.3</v>
      </c>
      <c r="S127">
        <v>22</v>
      </c>
      <c r="T127">
        <v>220</v>
      </c>
      <c r="U127">
        <v>130</v>
      </c>
      <c r="V127">
        <v>280</v>
      </c>
    </row>
    <row r="128" spans="1:22" x14ac:dyDescent="0.3">
      <c r="A128">
        <v>4016</v>
      </c>
      <c r="B128" t="s">
        <v>92</v>
      </c>
      <c r="D128">
        <v>2021</v>
      </c>
      <c r="E128" t="s">
        <v>75</v>
      </c>
      <c r="F128" t="s">
        <v>89</v>
      </c>
      <c r="G128">
        <v>28</v>
      </c>
      <c r="H128">
        <v>31</v>
      </c>
      <c r="I128">
        <v>6</v>
      </c>
      <c r="J128">
        <v>7.7</v>
      </c>
      <c r="K128">
        <v>7.7</v>
      </c>
      <c r="L128">
        <v>8.3000000000000007</v>
      </c>
      <c r="M128">
        <v>25800</v>
      </c>
      <c r="N128">
        <v>58830</v>
      </c>
      <c r="O128" t="s">
        <v>38</v>
      </c>
      <c r="P128">
        <v>1.9</v>
      </c>
      <c r="Q128">
        <v>0.3</v>
      </c>
      <c r="R128">
        <v>2.4</v>
      </c>
      <c r="S128">
        <v>13</v>
      </c>
      <c r="T128">
        <v>350</v>
      </c>
      <c r="U128">
        <v>23</v>
      </c>
      <c r="V128">
        <v>920</v>
      </c>
    </row>
    <row r="129" spans="1:22" x14ac:dyDescent="0.3">
      <c r="A129">
        <v>4017</v>
      </c>
      <c r="B129" t="s">
        <v>165</v>
      </c>
      <c r="D129">
        <v>2021</v>
      </c>
      <c r="E129" t="s">
        <v>75</v>
      </c>
      <c r="F129" t="s">
        <v>89</v>
      </c>
      <c r="G129">
        <v>27</v>
      </c>
      <c r="H129">
        <v>32</v>
      </c>
      <c r="I129">
        <v>5.8</v>
      </c>
      <c r="J129">
        <v>7.1</v>
      </c>
      <c r="K129">
        <v>6.7</v>
      </c>
      <c r="L129">
        <v>7.8</v>
      </c>
      <c r="M129">
        <v>26000</v>
      </c>
      <c r="N129">
        <v>57880</v>
      </c>
      <c r="O129" t="s">
        <v>38</v>
      </c>
      <c r="P129">
        <v>1.9</v>
      </c>
      <c r="Q129">
        <v>0.3</v>
      </c>
      <c r="R129">
        <v>0.8</v>
      </c>
      <c r="S129">
        <v>22</v>
      </c>
      <c r="T129">
        <v>240</v>
      </c>
      <c r="U129">
        <v>33</v>
      </c>
      <c r="V129">
        <v>540</v>
      </c>
    </row>
    <row r="130" spans="1:22" x14ac:dyDescent="0.3">
      <c r="A130">
        <v>2354</v>
      </c>
      <c r="B130" t="s">
        <v>166</v>
      </c>
      <c r="D130">
        <v>2021</v>
      </c>
      <c r="E130" t="s">
        <v>94</v>
      </c>
      <c r="F130" t="s">
        <v>70</v>
      </c>
      <c r="G130">
        <v>22</v>
      </c>
      <c r="H130">
        <v>29</v>
      </c>
      <c r="I130">
        <v>2.8</v>
      </c>
      <c r="J130">
        <v>6</v>
      </c>
      <c r="K130">
        <v>6.8</v>
      </c>
      <c r="L130">
        <v>8.6</v>
      </c>
      <c r="M130">
        <v>220</v>
      </c>
      <c r="N130">
        <v>518</v>
      </c>
      <c r="O130">
        <v>2</v>
      </c>
      <c r="P130">
        <v>3.8</v>
      </c>
      <c r="Q130">
        <v>0.7</v>
      </c>
      <c r="R130">
        <v>2.2999999999999998</v>
      </c>
      <c r="S130">
        <v>11</v>
      </c>
      <c r="T130">
        <v>21</v>
      </c>
      <c r="U130">
        <v>120</v>
      </c>
      <c r="V130">
        <v>210</v>
      </c>
    </row>
    <row r="131" spans="1:22" x14ac:dyDescent="0.3">
      <c r="A131">
        <v>2355</v>
      </c>
      <c r="B131" t="s">
        <v>167</v>
      </c>
      <c r="D131">
        <v>2021</v>
      </c>
      <c r="E131" t="s">
        <v>94</v>
      </c>
      <c r="F131" t="s">
        <v>70</v>
      </c>
      <c r="G131">
        <v>24</v>
      </c>
      <c r="H131">
        <v>30</v>
      </c>
      <c r="I131">
        <v>1.8</v>
      </c>
      <c r="J131">
        <v>6.5</v>
      </c>
      <c r="K131">
        <v>6.6</v>
      </c>
      <c r="L131">
        <v>8</v>
      </c>
      <c r="M131">
        <v>725</v>
      </c>
      <c r="N131">
        <v>25200</v>
      </c>
      <c r="O131">
        <v>3.8</v>
      </c>
      <c r="P131">
        <v>5.2</v>
      </c>
      <c r="Q131">
        <v>0.8</v>
      </c>
      <c r="R131">
        <v>3.9</v>
      </c>
      <c r="S131">
        <v>21</v>
      </c>
      <c r="T131">
        <v>28</v>
      </c>
      <c r="U131">
        <v>210</v>
      </c>
      <c r="V131">
        <v>460</v>
      </c>
    </row>
    <row r="132" spans="1:22" x14ac:dyDescent="0.3">
      <c r="A132">
        <v>3051</v>
      </c>
      <c r="B132" t="s">
        <v>168</v>
      </c>
      <c r="D132">
        <v>2021</v>
      </c>
      <c r="E132" t="s">
        <v>94</v>
      </c>
      <c r="F132" t="s">
        <v>70</v>
      </c>
      <c r="G132">
        <v>24</v>
      </c>
      <c r="H132">
        <v>26</v>
      </c>
      <c r="I132">
        <v>5.4</v>
      </c>
      <c r="J132">
        <v>6.6</v>
      </c>
      <c r="K132">
        <v>7.2</v>
      </c>
      <c r="L132">
        <v>7.9</v>
      </c>
      <c r="M132">
        <v>1070</v>
      </c>
      <c r="N132">
        <v>1730</v>
      </c>
      <c r="O132">
        <v>3.2</v>
      </c>
      <c r="P132">
        <v>6</v>
      </c>
      <c r="Q132">
        <v>1.4</v>
      </c>
      <c r="R132">
        <v>3.1</v>
      </c>
      <c r="S132">
        <v>3</v>
      </c>
      <c r="T132">
        <v>3</v>
      </c>
      <c r="U132">
        <v>460</v>
      </c>
      <c r="V132">
        <v>470</v>
      </c>
    </row>
    <row r="133" spans="1:22" x14ac:dyDescent="0.3">
      <c r="A133">
        <v>4356</v>
      </c>
      <c r="B133" t="s">
        <v>169</v>
      </c>
      <c r="D133">
        <v>2021</v>
      </c>
      <c r="E133" t="s">
        <v>94</v>
      </c>
      <c r="F133" t="s">
        <v>70</v>
      </c>
      <c r="G133">
        <v>25</v>
      </c>
      <c r="H133">
        <v>29</v>
      </c>
      <c r="I133">
        <v>5.5</v>
      </c>
      <c r="J133">
        <v>8</v>
      </c>
      <c r="K133">
        <v>6.7</v>
      </c>
      <c r="L133">
        <v>7.9</v>
      </c>
      <c r="M133">
        <v>198</v>
      </c>
      <c r="N133">
        <v>390</v>
      </c>
      <c r="O133">
        <v>1.4</v>
      </c>
      <c r="P133">
        <v>2.2000000000000002</v>
      </c>
      <c r="Q133">
        <v>0.3</v>
      </c>
      <c r="R133">
        <v>1.6</v>
      </c>
      <c r="S133">
        <v>7</v>
      </c>
      <c r="T133">
        <v>9</v>
      </c>
      <c r="U133">
        <v>93</v>
      </c>
      <c r="V133">
        <v>120</v>
      </c>
    </row>
    <row r="134" spans="1:22" x14ac:dyDescent="0.3">
      <c r="A134">
        <v>4370</v>
      </c>
      <c r="B134" t="s">
        <v>170</v>
      </c>
      <c r="D134">
        <v>2021</v>
      </c>
      <c r="E134" t="s">
        <v>94</v>
      </c>
      <c r="F134" t="s">
        <v>70</v>
      </c>
      <c r="G134">
        <v>22</v>
      </c>
      <c r="H134">
        <v>28</v>
      </c>
      <c r="I134">
        <v>2.2999999999999998</v>
      </c>
      <c r="J134">
        <v>6.5</v>
      </c>
      <c r="K134">
        <v>7.1</v>
      </c>
      <c r="L134">
        <v>7.7</v>
      </c>
      <c r="M134">
        <v>389</v>
      </c>
      <c r="N134">
        <v>968</v>
      </c>
      <c r="O134">
        <v>1.6</v>
      </c>
      <c r="P134">
        <v>4.2</v>
      </c>
      <c r="Q134">
        <v>0.8</v>
      </c>
      <c r="R134">
        <v>2</v>
      </c>
      <c r="S134">
        <v>11</v>
      </c>
      <c r="T134">
        <v>21</v>
      </c>
      <c r="U134">
        <v>150</v>
      </c>
      <c r="V134">
        <v>240</v>
      </c>
    </row>
    <row r="135" spans="1:22" x14ac:dyDescent="0.3">
      <c r="A135">
        <v>4374</v>
      </c>
      <c r="B135" t="s">
        <v>171</v>
      </c>
      <c r="D135">
        <v>2021</v>
      </c>
      <c r="E135" t="s">
        <v>94</v>
      </c>
      <c r="F135" t="s">
        <v>70</v>
      </c>
      <c r="G135">
        <v>23</v>
      </c>
      <c r="H135">
        <v>27</v>
      </c>
      <c r="I135">
        <v>2.2000000000000002</v>
      </c>
      <c r="J135">
        <v>8.5</v>
      </c>
      <c r="K135">
        <v>7</v>
      </c>
      <c r="L135">
        <v>8.1</v>
      </c>
      <c r="M135">
        <v>250</v>
      </c>
      <c r="N135">
        <v>1120</v>
      </c>
      <c r="O135">
        <v>1.3</v>
      </c>
      <c r="P135">
        <v>3.8</v>
      </c>
      <c r="Q135">
        <v>0.8</v>
      </c>
      <c r="R135">
        <v>2.2999999999999998</v>
      </c>
      <c r="S135">
        <v>9</v>
      </c>
      <c r="T135">
        <v>154</v>
      </c>
      <c r="U135">
        <v>120</v>
      </c>
      <c r="V135">
        <v>240</v>
      </c>
    </row>
    <row r="136" spans="1:22" x14ac:dyDescent="0.3">
      <c r="A136">
        <v>2057</v>
      </c>
      <c r="B136" t="s">
        <v>99</v>
      </c>
      <c r="D136">
        <v>2021</v>
      </c>
      <c r="E136" t="s">
        <v>94</v>
      </c>
      <c r="F136" t="s">
        <v>100</v>
      </c>
      <c r="G136">
        <v>17</v>
      </c>
      <c r="H136">
        <v>27</v>
      </c>
      <c r="I136" t="s">
        <v>38</v>
      </c>
      <c r="J136">
        <v>1.4</v>
      </c>
      <c r="K136">
        <v>7.1</v>
      </c>
      <c r="L136">
        <v>7.8</v>
      </c>
      <c r="M136">
        <v>1015</v>
      </c>
      <c r="N136">
        <v>1731</v>
      </c>
      <c r="O136">
        <v>26</v>
      </c>
      <c r="P136">
        <v>77</v>
      </c>
      <c r="Q136">
        <v>0.6</v>
      </c>
      <c r="R136">
        <v>1.1000000000000001</v>
      </c>
      <c r="S136">
        <v>49000</v>
      </c>
      <c r="T136">
        <v>14000000</v>
      </c>
      <c r="U136">
        <v>790000</v>
      </c>
      <c r="V136">
        <v>14000000</v>
      </c>
    </row>
    <row r="137" spans="1:22" x14ac:dyDescent="0.3">
      <c r="A137">
        <v>2265</v>
      </c>
      <c r="B137" t="s">
        <v>102</v>
      </c>
      <c r="D137">
        <v>2021</v>
      </c>
      <c r="E137" t="s">
        <v>94</v>
      </c>
      <c r="F137" t="s">
        <v>89</v>
      </c>
      <c r="G137">
        <v>27</v>
      </c>
      <c r="H137">
        <v>31</v>
      </c>
      <c r="I137">
        <v>5</v>
      </c>
      <c r="J137">
        <v>8.1</v>
      </c>
      <c r="K137">
        <v>6.1</v>
      </c>
      <c r="L137">
        <v>7.9</v>
      </c>
      <c r="M137">
        <v>60</v>
      </c>
      <c r="N137">
        <v>410</v>
      </c>
      <c r="O137" t="s">
        <v>38</v>
      </c>
      <c r="P137">
        <v>2.8</v>
      </c>
      <c r="Q137">
        <v>0.3</v>
      </c>
      <c r="R137">
        <v>1.6</v>
      </c>
      <c r="S137">
        <v>790</v>
      </c>
      <c r="T137">
        <v>2300</v>
      </c>
      <c r="U137">
        <v>1300</v>
      </c>
      <c r="V137">
        <v>3300</v>
      </c>
    </row>
    <row r="138" spans="1:22" x14ac:dyDescent="0.3">
      <c r="A138">
        <v>2266</v>
      </c>
      <c r="B138" t="s">
        <v>103</v>
      </c>
      <c r="D138">
        <v>2021</v>
      </c>
      <c r="E138" t="s">
        <v>94</v>
      </c>
      <c r="F138" t="s">
        <v>89</v>
      </c>
      <c r="G138">
        <v>27</v>
      </c>
      <c r="H138">
        <v>31</v>
      </c>
      <c r="I138">
        <v>4.5</v>
      </c>
      <c r="J138">
        <v>8</v>
      </c>
      <c r="K138">
        <v>6.4</v>
      </c>
      <c r="L138">
        <v>7.8</v>
      </c>
      <c r="M138">
        <v>52</v>
      </c>
      <c r="N138">
        <v>406</v>
      </c>
      <c r="O138" t="s">
        <v>38</v>
      </c>
      <c r="P138">
        <v>2.1</v>
      </c>
      <c r="Q138">
        <v>0.3</v>
      </c>
      <c r="R138">
        <v>1.5</v>
      </c>
      <c r="S138">
        <v>1300</v>
      </c>
      <c r="T138">
        <v>3300</v>
      </c>
      <c r="U138">
        <v>1700</v>
      </c>
      <c r="V138">
        <v>4900</v>
      </c>
    </row>
    <row r="139" spans="1:22" x14ac:dyDescent="0.3">
      <c r="A139">
        <v>2268</v>
      </c>
      <c r="B139" t="s">
        <v>104</v>
      </c>
      <c r="D139">
        <v>2021</v>
      </c>
      <c r="E139" t="s">
        <v>94</v>
      </c>
      <c r="F139" t="s">
        <v>89</v>
      </c>
      <c r="G139">
        <v>27</v>
      </c>
      <c r="H139">
        <v>31</v>
      </c>
      <c r="I139">
        <v>4.2</v>
      </c>
      <c r="J139">
        <v>8.1</v>
      </c>
      <c r="K139">
        <v>6.1</v>
      </c>
      <c r="L139">
        <v>7.7</v>
      </c>
      <c r="M139">
        <v>118</v>
      </c>
      <c r="N139">
        <v>46570</v>
      </c>
      <c r="O139">
        <v>1.2</v>
      </c>
      <c r="P139">
        <v>2</v>
      </c>
      <c r="Q139">
        <v>0.3</v>
      </c>
      <c r="R139">
        <v>0.6</v>
      </c>
      <c r="S139">
        <v>780</v>
      </c>
      <c r="T139">
        <v>2200</v>
      </c>
      <c r="U139">
        <v>1300</v>
      </c>
      <c r="V139">
        <v>4900</v>
      </c>
    </row>
    <row r="140" spans="1:22" x14ac:dyDescent="0.3">
      <c r="A140">
        <v>2073</v>
      </c>
      <c r="B140" t="s">
        <v>172</v>
      </c>
      <c r="D140">
        <v>2021</v>
      </c>
      <c r="E140" t="s">
        <v>94</v>
      </c>
      <c r="F140" t="s">
        <v>106</v>
      </c>
      <c r="G140">
        <v>26</v>
      </c>
      <c r="H140">
        <v>30</v>
      </c>
      <c r="I140">
        <v>4.5999999999999996</v>
      </c>
      <c r="J140">
        <v>7.3</v>
      </c>
      <c r="K140">
        <v>7.6</v>
      </c>
      <c r="L140">
        <v>8.1</v>
      </c>
      <c r="M140" t="s">
        <v>38</v>
      </c>
      <c r="N140">
        <v>322</v>
      </c>
      <c r="O140" t="s">
        <v>38</v>
      </c>
      <c r="P140">
        <v>1.1000000000000001</v>
      </c>
      <c r="Q140" t="s">
        <v>38</v>
      </c>
      <c r="R140">
        <v>2.1</v>
      </c>
      <c r="S140" t="s">
        <v>38</v>
      </c>
      <c r="T140">
        <v>4</v>
      </c>
      <c r="U140">
        <v>6</v>
      </c>
      <c r="V140">
        <v>47</v>
      </c>
    </row>
    <row r="141" spans="1:22" x14ac:dyDescent="0.3">
      <c r="A141">
        <v>2074</v>
      </c>
      <c r="B141" t="s">
        <v>173</v>
      </c>
      <c r="D141">
        <v>2021</v>
      </c>
      <c r="E141" t="s">
        <v>94</v>
      </c>
      <c r="F141" t="s">
        <v>106</v>
      </c>
      <c r="G141">
        <v>25</v>
      </c>
      <c r="H141">
        <v>37</v>
      </c>
      <c r="I141">
        <v>6.6</v>
      </c>
      <c r="J141">
        <v>8.9</v>
      </c>
      <c r="K141">
        <v>7.8</v>
      </c>
      <c r="L141">
        <v>8.5</v>
      </c>
      <c r="M141">
        <v>317</v>
      </c>
      <c r="N141">
        <v>808</v>
      </c>
      <c r="O141" t="s">
        <v>38</v>
      </c>
      <c r="Q141" t="s">
        <v>38</v>
      </c>
      <c r="R141">
        <v>0.5</v>
      </c>
      <c r="S141">
        <v>2</v>
      </c>
      <c r="T141">
        <v>49</v>
      </c>
      <c r="U141">
        <v>20</v>
      </c>
      <c r="V141">
        <v>170</v>
      </c>
    </row>
    <row r="142" spans="1:22" x14ac:dyDescent="0.3">
      <c r="A142">
        <v>4421</v>
      </c>
      <c r="B142" t="s">
        <v>174</v>
      </c>
      <c r="D142">
        <v>2021</v>
      </c>
      <c r="E142" t="s">
        <v>94</v>
      </c>
      <c r="F142" t="s">
        <v>106</v>
      </c>
      <c r="G142">
        <v>21</v>
      </c>
      <c r="H142">
        <v>29</v>
      </c>
      <c r="I142">
        <v>6.8</v>
      </c>
      <c r="J142">
        <v>8.3000000000000007</v>
      </c>
      <c r="K142">
        <v>7</v>
      </c>
      <c r="L142">
        <v>8.4</v>
      </c>
      <c r="M142">
        <v>291</v>
      </c>
      <c r="N142">
        <v>563</v>
      </c>
      <c r="O142" t="s">
        <v>38</v>
      </c>
      <c r="Q142">
        <v>0.3</v>
      </c>
      <c r="R142">
        <v>0.3</v>
      </c>
      <c r="S142" t="s">
        <v>38</v>
      </c>
      <c r="T142">
        <v>7.8</v>
      </c>
      <c r="U142">
        <v>21</v>
      </c>
      <c r="V142">
        <v>70</v>
      </c>
    </row>
    <row r="143" spans="1:22" x14ac:dyDescent="0.3">
      <c r="A143">
        <v>1013</v>
      </c>
      <c r="B143" t="s">
        <v>175</v>
      </c>
      <c r="D143">
        <v>2021</v>
      </c>
      <c r="E143" t="s">
        <v>25</v>
      </c>
      <c r="F143" t="s">
        <v>40</v>
      </c>
      <c r="G143">
        <v>8.5</v>
      </c>
      <c r="H143">
        <v>15</v>
      </c>
      <c r="I143">
        <v>8.5</v>
      </c>
      <c r="J143">
        <v>9</v>
      </c>
      <c r="K143">
        <v>7.3</v>
      </c>
      <c r="L143">
        <v>8.1999999999999993</v>
      </c>
      <c r="M143">
        <v>1229</v>
      </c>
      <c r="N143">
        <v>3096</v>
      </c>
      <c r="O143">
        <v>1</v>
      </c>
      <c r="P143">
        <v>1</v>
      </c>
      <c r="Q143">
        <v>0.32</v>
      </c>
      <c r="R143">
        <v>1.34</v>
      </c>
      <c r="S143">
        <v>350</v>
      </c>
      <c r="T143">
        <v>920</v>
      </c>
      <c r="U143">
        <v>2</v>
      </c>
      <c r="V143">
        <v>12</v>
      </c>
    </row>
    <row r="144" spans="1:22" x14ac:dyDescent="0.3">
      <c r="A144">
        <v>4446</v>
      </c>
      <c r="B144" t="s">
        <v>176</v>
      </c>
      <c r="D144">
        <v>2021</v>
      </c>
      <c r="E144" t="s">
        <v>25</v>
      </c>
      <c r="F144" t="s">
        <v>40</v>
      </c>
      <c r="G144">
        <v>8.6</v>
      </c>
      <c r="H144">
        <v>14.5</v>
      </c>
      <c r="I144">
        <v>8.6</v>
      </c>
      <c r="J144">
        <v>9.4</v>
      </c>
      <c r="K144">
        <v>7.5</v>
      </c>
      <c r="L144">
        <v>8.5</v>
      </c>
      <c r="M144">
        <v>1149</v>
      </c>
      <c r="N144">
        <v>3721</v>
      </c>
      <c r="O144">
        <v>1</v>
      </c>
      <c r="P144">
        <v>1</v>
      </c>
      <c r="Q144">
        <v>0.32</v>
      </c>
      <c r="R144">
        <v>1.92</v>
      </c>
      <c r="S144">
        <v>1600</v>
      </c>
      <c r="T144">
        <v>350</v>
      </c>
      <c r="U144">
        <v>2</v>
      </c>
      <c r="V144">
        <v>94</v>
      </c>
    </row>
    <row r="145" spans="1:23" x14ac:dyDescent="0.3">
      <c r="A145">
        <v>4447</v>
      </c>
      <c r="B145" t="s">
        <v>177</v>
      </c>
      <c r="D145">
        <v>2021</v>
      </c>
      <c r="E145" t="s">
        <v>25</v>
      </c>
      <c r="F145" t="s">
        <v>40</v>
      </c>
      <c r="G145">
        <v>8.4</v>
      </c>
      <c r="H145">
        <v>14.5</v>
      </c>
      <c r="I145">
        <v>8.4</v>
      </c>
      <c r="J145">
        <v>9.4</v>
      </c>
      <c r="K145">
        <v>7.2</v>
      </c>
      <c r="L145">
        <v>8.4</v>
      </c>
      <c r="M145">
        <v>168</v>
      </c>
      <c r="N145">
        <v>2735</v>
      </c>
      <c r="O145">
        <v>1</v>
      </c>
      <c r="P145">
        <v>1</v>
      </c>
      <c r="Q145">
        <v>0.32</v>
      </c>
      <c r="R145">
        <v>1.92</v>
      </c>
      <c r="S145">
        <v>1600</v>
      </c>
      <c r="T145">
        <v>1600</v>
      </c>
      <c r="U145">
        <v>2</v>
      </c>
      <c r="V145">
        <v>110</v>
      </c>
    </row>
    <row r="146" spans="1:23" x14ac:dyDescent="0.3">
      <c r="A146">
        <v>4032</v>
      </c>
      <c r="B146" t="s">
        <v>178</v>
      </c>
      <c r="D146">
        <v>2021</v>
      </c>
      <c r="E146" t="s">
        <v>25</v>
      </c>
      <c r="F146" t="s">
        <v>40</v>
      </c>
      <c r="G146">
        <v>8.3000000000000007</v>
      </c>
      <c r="H146">
        <v>23</v>
      </c>
      <c r="I146">
        <v>8.3000000000000007</v>
      </c>
      <c r="J146">
        <v>9.8000000000000007</v>
      </c>
      <c r="K146">
        <v>7.1</v>
      </c>
      <c r="L146">
        <v>8.3000000000000007</v>
      </c>
      <c r="M146">
        <v>173</v>
      </c>
      <c r="N146">
        <v>308</v>
      </c>
      <c r="O146">
        <v>1</v>
      </c>
      <c r="P146">
        <v>1</v>
      </c>
      <c r="Q146">
        <v>0.32</v>
      </c>
      <c r="R146">
        <v>1.78</v>
      </c>
      <c r="S146">
        <v>210</v>
      </c>
      <c r="T146">
        <v>140</v>
      </c>
      <c r="U146">
        <v>2</v>
      </c>
      <c r="V146">
        <v>2</v>
      </c>
    </row>
    <row r="147" spans="1:23" x14ac:dyDescent="0.3">
      <c r="A147">
        <v>4033</v>
      </c>
      <c r="B147" t="s">
        <v>179</v>
      </c>
      <c r="D147">
        <v>2021</v>
      </c>
      <c r="E147" t="s">
        <v>25</v>
      </c>
      <c r="F147" t="s">
        <v>40</v>
      </c>
      <c r="G147">
        <v>8.1999999999999993</v>
      </c>
      <c r="H147">
        <v>23</v>
      </c>
      <c r="I147">
        <v>8.1999999999999993</v>
      </c>
      <c r="J147">
        <v>9.6999999999999993</v>
      </c>
      <c r="K147">
        <v>7.1</v>
      </c>
      <c r="L147">
        <v>8.1999999999999993</v>
      </c>
      <c r="M147">
        <v>178</v>
      </c>
      <c r="N147">
        <v>284</v>
      </c>
      <c r="O147">
        <v>1</v>
      </c>
      <c r="P147">
        <v>1</v>
      </c>
      <c r="Q147">
        <v>0.32</v>
      </c>
      <c r="R147">
        <v>1.42</v>
      </c>
      <c r="S147">
        <v>540</v>
      </c>
      <c r="T147">
        <v>150</v>
      </c>
      <c r="U147">
        <v>2</v>
      </c>
      <c r="V147">
        <v>2</v>
      </c>
    </row>
    <row r="148" spans="1:23" x14ac:dyDescent="0.3">
      <c r="A148">
        <v>4450</v>
      </c>
      <c r="B148" t="s">
        <v>180</v>
      </c>
      <c r="D148">
        <v>2021</v>
      </c>
      <c r="E148" t="s">
        <v>25</v>
      </c>
      <c r="F148" t="s">
        <v>40</v>
      </c>
      <c r="G148">
        <v>8.9</v>
      </c>
      <c r="H148">
        <v>14</v>
      </c>
      <c r="I148">
        <v>8.9</v>
      </c>
      <c r="J148">
        <v>9.5</v>
      </c>
      <c r="K148">
        <v>7.4</v>
      </c>
      <c r="L148">
        <v>8.3000000000000007</v>
      </c>
      <c r="M148">
        <v>960</v>
      </c>
      <c r="N148">
        <v>3837</v>
      </c>
      <c r="O148">
        <v>1</v>
      </c>
      <c r="P148">
        <v>1</v>
      </c>
      <c r="Q148">
        <v>0.32</v>
      </c>
      <c r="R148">
        <v>2.12</v>
      </c>
      <c r="S148">
        <v>1600</v>
      </c>
      <c r="T148">
        <v>49</v>
      </c>
      <c r="U148">
        <v>2</v>
      </c>
      <c r="V148">
        <v>2</v>
      </c>
    </row>
    <row r="149" spans="1:23" x14ac:dyDescent="0.3">
      <c r="A149">
        <v>4451</v>
      </c>
      <c r="B149" t="s">
        <v>181</v>
      </c>
      <c r="D149">
        <v>2021</v>
      </c>
      <c r="E149" t="s">
        <v>25</v>
      </c>
      <c r="F149" t="s">
        <v>40</v>
      </c>
      <c r="G149">
        <v>8.9</v>
      </c>
      <c r="H149">
        <v>14</v>
      </c>
      <c r="I149">
        <v>8.9</v>
      </c>
      <c r="J149">
        <v>9.5</v>
      </c>
      <c r="K149">
        <v>7.1</v>
      </c>
      <c r="L149">
        <v>8.1999999999999993</v>
      </c>
      <c r="M149">
        <v>978</v>
      </c>
      <c r="N149">
        <v>3829</v>
      </c>
      <c r="O149">
        <v>1</v>
      </c>
      <c r="P149">
        <v>1</v>
      </c>
      <c r="Q149">
        <v>0.32</v>
      </c>
      <c r="R149">
        <v>2.52</v>
      </c>
      <c r="S149">
        <v>1600</v>
      </c>
      <c r="T149">
        <v>220</v>
      </c>
      <c r="U149">
        <v>2</v>
      </c>
      <c r="V149">
        <v>5</v>
      </c>
    </row>
    <row r="150" spans="1:23" x14ac:dyDescent="0.3">
      <c r="A150">
        <v>30009</v>
      </c>
      <c r="B150" t="s">
        <v>182</v>
      </c>
      <c r="D150">
        <v>2021</v>
      </c>
      <c r="E150" t="s">
        <v>25</v>
      </c>
      <c r="F150" t="s">
        <v>40</v>
      </c>
      <c r="G150">
        <v>9</v>
      </c>
      <c r="H150">
        <v>25</v>
      </c>
      <c r="I150">
        <v>9</v>
      </c>
      <c r="J150">
        <v>9.6</v>
      </c>
      <c r="K150">
        <v>7.1</v>
      </c>
      <c r="L150">
        <v>7.7</v>
      </c>
      <c r="M150">
        <v>207</v>
      </c>
      <c r="N150">
        <v>293</v>
      </c>
      <c r="O150">
        <v>2</v>
      </c>
      <c r="P150">
        <v>2</v>
      </c>
      <c r="Q150">
        <v>0.32</v>
      </c>
      <c r="R150">
        <v>0.72</v>
      </c>
      <c r="S150">
        <v>20000</v>
      </c>
      <c r="T150">
        <v>490</v>
      </c>
      <c r="U150">
        <v>8</v>
      </c>
      <c r="V150">
        <v>330</v>
      </c>
    </row>
    <row r="151" spans="1:23" x14ac:dyDescent="0.3">
      <c r="A151">
        <v>1014</v>
      </c>
      <c r="B151" t="s">
        <v>183</v>
      </c>
      <c r="D151">
        <v>2021</v>
      </c>
      <c r="E151" t="s">
        <v>25</v>
      </c>
      <c r="F151" t="s">
        <v>40</v>
      </c>
      <c r="G151">
        <v>8.1999999999999993</v>
      </c>
      <c r="H151">
        <v>21</v>
      </c>
      <c r="I151">
        <v>8.1999999999999993</v>
      </c>
      <c r="J151">
        <v>9.6999999999999993</v>
      </c>
      <c r="K151">
        <v>7.3</v>
      </c>
      <c r="L151">
        <v>8.1</v>
      </c>
      <c r="M151">
        <v>110</v>
      </c>
      <c r="N151">
        <v>287</v>
      </c>
      <c r="O151">
        <v>1</v>
      </c>
      <c r="P151">
        <v>1</v>
      </c>
      <c r="Q151">
        <v>0.32</v>
      </c>
      <c r="R151">
        <v>0.77</v>
      </c>
      <c r="S151">
        <v>79</v>
      </c>
      <c r="T151">
        <v>170</v>
      </c>
      <c r="U151">
        <v>2</v>
      </c>
      <c r="V151">
        <v>2</v>
      </c>
    </row>
    <row r="152" spans="1:23" x14ac:dyDescent="0.3">
      <c r="A152">
        <v>1015</v>
      </c>
      <c r="B152" t="s">
        <v>184</v>
      </c>
      <c r="D152">
        <v>2021</v>
      </c>
      <c r="E152" t="s">
        <v>25</v>
      </c>
      <c r="F152" t="s">
        <v>40</v>
      </c>
      <c r="G152">
        <v>8.5</v>
      </c>
      <c r="H152">
        <v>21</v>
      </c>
      <c r="I152">
        <v>8.5</v>
      </c>
      <c r="J152">
        <v>9.6</v>
      </c>
      <c r="K152">
        <v>7.2</v>
      </c>
      <c r="L152">
        <v>8</v>
      </c>
      <c r="M152">
        <v>111</v>
      </c>
      <c r="N152">
        <v>262</v>
      </c>
      <c r="O152">
        <v>1</v>
      </c>
      <c r="P152">
        <v>1</v>
      </c>
      <c r="Q152">
        <v>0.32</v>
      </c>
      <c r="R152">
        <v>1.1200000000000001</v>
      </c>
      <c r="S152">
        <v>140</v>
      </c>
      <c r="T152">
        <v>210</v>
      </c>
      <c r="U152">
        <v>2</v>
      </c>
      <c r="V152">
        <v>2</v>
      </c>
    </row>
    <row r="153" spans="1:23" x14ac:dyDescent="0.3">
      <c r="A153">
        <v>1016</v>
      </c>
      <c r="B153" t="s">
        <v>185</v>
      </c>
      <c r="D153">
        <v>2021</v>
      </c>
      <c r="E153" t="s">
        <v>25</v>
      </c>
      <c r="F153" t="s">
        <v>40</v>
      </c>
      <c r="G153">
        <v>8.1999999999999993</v>
      </c>
      <c r="H153">
        <v>26</v>
      </c>
      <c r="I153">
        <v>8.1999999999999993</v>
      </c>
      <c r="J153">
        <v>9.4</v>
      </c>
      <c r="K153">
        <v>7</v>
      </c>
      <c r="L153">
        <v>7.9</v>
      </c>
      <c r="M153">
        <v>185</v>
      </c>
      <c r="N153">
        <v>261</v>
      </c>
      <c r="O153">
        <v>1</v>
      </c>
      <c r="P153">
        <v>1</v>
      </c>
      <c r="Q153">
        <v>0.3</v>
      </c>
      <c r="R153">
        <v>5.0999999999999996</v>
      </c>
      <c r="S153">
        <v>2</v>
      </c>
      <c r="T153">
        <v>22</v>
      </c>
      <c r="U153">
        <v>2</v>
      </c>
      <c r="V153">
        <v>2</v>
      </c>
    </row>
    <row r="154" spans="1:23" x14ac:dyDescent="0.3">
      <c r="A154">
        <v>30010</v>
      </c>
      <c r="B154" t="s">
        <v>186</v>
      </c>
      <c r="D154">
        <v>2021</v>
      </c>
      <c r="E154" t="s">
        <v>25</v>
      </c>
      <c r="F154" t="s">
        <v>187</v>
      </c>
      <c r="G154">
        <v>8.9</v>
      </c>
      <c r="H154">
        <v>26</v>
      </c>
      <c r="I154">
        <v>8.9</v>
      </c>
      <c r="J154">
        <v>10.199999999999999</v>
      </c>
      <c r="K154">
        <v>7.1</v>
      </c>
      <c r="L154">
        <v>7.7</v>
      </c>
      <c r="M154">
        <v>218</v>
      </c>
      <c r="N154">
        <v>299</v>
      </c>
      <c r="O154">
        <v>2</v>
      </c>
      <c r="P154">
        <v>2</v>
      </c>
      <c r="Q154">
        <v>0.32</v>
      </c>
      <c r="R154">
        <v>0.72</v>
      </c>
      <c r="S154">
        <v>54000</v>
      </c>
      <c r="T154">
        <v>1400</v>
      </c>
      <c r="U154">
        <v>11</v>
      </c>
      <c r="V154">
        <v>540</v>
      </c>
    </row>
    <row r="155" spans="1:23" x14ac:dyDescent="0.3">
      <c r="A155">
        <v>1814</v>
      </c>
      <c r="B155" t="s">
        <v>188</v>
      </c>
      <c r="D155">
        <v>2021</v>
      </c>
      <c r="E155" t="s">
        <v>25</v>
      </c>
      <c r="F155" t="s">
        <v>187</v>
      </c>
      <c r="G155">
        <v>7.3</v>
      </c>
      <c r="H155">
        <v>22</v>
      </c>
      <c r="I155">
        <v>7.3</v>
      </c>
      <c r="J155">
        <v>10.1</v>
      </c>
      <c r="K155">
        <v>7.5</v>
      </c>
      <c r="L155">
        <v>8.6</v>
      </c>
      <c r="M155">
        <v>198</v>
      </c>
      <c r="N155">
        <v>281</v>
      </c>
      <c r="O155">
        <v>1</v>
      </c>
      <c r="P155">
        <v>1</v>
      </c>
      <c r="Q155">
        <v>1.2</v>
      </c>
      <c r="R155">
        <v>1.8</v>
      </c>
      <c r="S155">
        <v>330</v>
      </c>
      <c r="T155">
        <v>310</v>
      </c>
      <c r="U155" t="s">
        <v>71</v>
      </c>
    </row>
    <row r="156" spans="1:23" x14ac:dyDescent="0.3">
      <c r="A156">
        <v>3052</v>
      </c>
      <c r="B156" t="s">
        <v>189</v>
      </c>
      <c r="D156">
        <v>2023</v>
      </c>
      <c r="E156" t="s">
        <v>190</v>
      </c>
      <c r="F156" t="s">
        <v>70</v>
      </c>
      <c r="G156">
        <v>22</v>
      </c>
      <c r="H156">
        <v>25</v>
      </c>
      <c r="I156">
        <v>0.3</v>
      </c>
      <c r="J156">
        <v>1.8</v>
      </c>
      <c r="K156">
        <v>6.9</v>
      </c>
      <c r="L156">
        <v>7.9</v>
      </c>
      <c r="M156">
        <v>1548</v>
      </c>
      <c r="N156">
        <v>2280</v>
      </c>
      <c r="O156">
        <v>17.8</v>
      </c>
      <c r="P156">
        <v>37</v>
      </c>
      <c r="Q156">
        <v>5.5</v>
      </c>
      <c r="R156">
        <v>8.8000000000000007</v>
      </c>
      <c r="S156">
        <v>440</v>
      </c>
      <c r="T156">
        <v>470</v>
      </c>
      <c r="U156">
        <v>2300</v>
      </c>
      <c r="V156">
        <v>5200</v>
      </c>
      <c r="W156">
        <v>21</v>
      </c>
    </row>
    <row r="157" spans="1:23" x14ac:dyDescent="0.3">
      <c r="A157">
        <v>3053</v>
      </c>
      <c r="B157" t="s">
        <v>191</v>
      </c>
      <c r="D157">
        <v>2023</v>
      </c>
      <c r="E157" t="s">
        <v>190</v>
      </c>
      <c r="F157" t="s">
        <v>70</v>
      </c>
      <c r="G157">
        <v>24</v>
      </c>
      <c r="H157">
        <v>26</v>
      </c>
      <c r="I157">
        <v>4.9000000000000004</v>
      </c>
      <c r="J157">
        <v>6.9</v>
      </c>
      <c r="K157">
        <v>6.7</v>
      </c>
      <c r="L157">
        <v>7.6</v>
      </c>
      <c r="M157">
        <v>525</v>
      </c>
      <c r="N157">
        <v>24500</v>
      </c>
      <c r="O157">
        <v>2.4</v>
      </c>
      <c r="P157">
        <v>3.6</v>
      </c>
      <c r="Q157">
        <v>0.8</v>
      </c>
      <c r="R157">
        <v>3.3</v>
      </c>
      <c r="S157">
        <v>3</v>
      </c>
      <c r="T157">
        <v>20</v>
      </c>
      <c r="U157">
        <v>75</v>
      </c>
      <c r="V157">
        <v>460</v>
      </c>
      <c r="W157">
        <v>4</v>
      </c>
    </row>
    <row r="158" spans="1:23" x14ac:dyDescent="0.3">
      <c r="A158">
        <v>4861</v>
      </c>
      <c r="B158" t="s">
        <v>192</v>
      </c>
      <c r="D158">
        <v>2023</v>
      </c>
      <c r="E158" t="s">
        <v>193</v>
      </c>
      <c r="F158" t="s">
        <v>194</v>
      </c>
      <c r="G158">
        <v>22</v>
      </c>
      <c r="H158">
        <v>30</v>
      </c>
      <c r="I158">
        <v>7</v>
      </c>
      <c r="J158">
        <v>7.7</v>
      </c>
      <c r="K158">
        <v>7</v>
      </c>
      <c r="L158">
        <v>7.8</v>
      </c>
      <c r="M158">
        <v>1010</v>
      </c>
      <c r="N158">
        <v>1210</v>
      </c>
      <c r="O158">
        <v>1</v>
      </c>
      <c r="P158">
        <v>1</v>
      </c>
      <c r="Q158">
        <v>0.3</v>
      </c>
      <c r="R158">
        <v>0.3</v>
      </c>
      <c r="S158">
        <v>80</v>
      </c>
      <c r="T158">
        <v>160</v>
      </c>
      <c r="U158">
        <v>1900</v>
      </c>
      <c r="V158">
        <v>2900</v>
      </c>
      <c r="W158">
        <v>2</v>
      </c>
    </row>
    <row r="159" spans="1:23" x14ac:dyDescent="0.3">
      <c r="A159">
        <v>3047</v>
      </c>
      <c r="B159" t="s">
        <v>195</v>
      </c>
      <c r="D159">
        <v>2023</v>
      </c>
      <c r="E159" t="s">
        <v>193</v>
      </c>
      <c r="F159" t="s">
        <v>194</v>
      </c>
      <c r="G159">
        <v>26</v>
      </c>
      <c r="H159">
        <v>32</v>
      </c>
      <c r="I159">
        <v>7</v>
      </c>
      <c r="J159">
        <v>7.3</v>
      </c>
      <c r="K159">
        <v>7.2</v>
      </c>
      <c r="L159">
        <v>8</v>
      </c>
      <c r="M159">
        <v>1120</v>
      </c>
      <c r="N159">
        <v>1640</v>
      </c>
      <c r="O159">
        <v>1</v>
      </c>
      <c r="P159">
        <v>1</v>
      </c>
      <c r="Q159">
        <v>0.3</v>
      </c>
      <c r="R159">
        <v>0.3</v>
      </c>
      <c r="S159">
        <v>110</v>
      </c>
      <c r="T159">
        <v>310</v>
      </c>
      <c r="U159">
        <v>2700</v>
      </c>
      <c r="V159">
        <v>5100</v>
      </c>
      <c r="W159">
        <v>2</v>
      </c>
    </row>
    <row r="160" spans="1:23" x14ac:dyDescent="0.3">
      <c r="A160">
        <v>4464</v>
      </c>
      <c r="B160" t="s">
        <v>196</v>
      </c>
      <c r="D160">
        <v>2023</v>
      </c>
      <c r="E160" t="s">
        <v>190</v>
      </c>
      <c r="F160" t="s">
        <v>40</v>
      </c>
      <c r="G160">
        <v>12</v>
      </c>
      <c r="H160">
        <v>29</v>
      </c>
      <c r="I160">
        <v>8.1999999999999993</v>
      </c>
      <c r="J160">
        <v>9.3000000000000007</v>
      </c>
      <c r="K160">
        <v>6.9</v>
      </c>
      <c r="L160">
        <v>8.1999999999999993</v>
      </c>
      <c r="M160">
        <v>286</v>
      </c>
      <c r="N160">
        <v>470</v>
      </c>
      <c r="O160">
        <v>1</v>
      </c>
      <c r="P160">
        <v>1</v>
      </c>
      <c r="Q160">
        <v>0.3</v>
      </c>
      <c r="R160">
        <v>2.6</v>
      </c>
      <c r="S160">
        <v>22</v>
      </c>
      <c r="T160">
        <v>84</v>
      </c>
      <c r="U160">
        <v>130</v>
      </c>
      <c r="V160">
        <v>540</v>
      </c>
      <c r="W160">
        <v>2</v>
      </c>
    </row>
    <row r="161" spans="1:23" x14ac:dyDescent="0.3">
      <c r="A161">
        <v>3868</v>
      </c>
      <c r="B161" t="s">
        <v>197</v>
      </c>
      <c r="D161">
        <v>2023</v>
      </c>
      <c r="E161" t="s">
        <v>190</v>
      </c>
      <c r="F161" t="s">
        <v>40</v>
      </c>
      <c r="G161">
        <v>1</v>
      </c>
      <c r="H161">
        <v>13</v>
      </c>
      <c r="I161">
        <v>7.5</v>
      </c>
      <c r="J161">
        <v>8.9</v>
      </c>
      <c r="K161">
        <v>6.8</v>
      </c>
      <c r="L161">
        <v>8</v>
      </c>
      <c r="M161">
        <v>50</v>
      </c>
      <c r="N161">
        <v>106</v>
      </c>
      <c r="O161">
        <v>1</v>
      </c>
      <c r="P161">
        <v>1</v>
      </c>
      <c r="Q161">
        <v>0.3</v>
      </c>
      <c r="R161">
        <v>0.7</v>
      </c>
      <c r="S161">
        <v>21</v>
      </c>
      <c r="T161">
        <v>58</v>
      </c>
      <c r="U161">
        <v>58</v>
      </c>
      <c r="V161">
        <v>280</v>
      </c>
      <c r="W161">
        <v>2</v>
      </c>
    </row>
    <row r="162" spans="1:23" x14ac:dyDescent="0.3">
      <c r="A162">
        <v>3881</v>
      </c>
      <c r="B162" t="s">
        <v>198</v>
      </c>
      <c r="D162">
        <v>2023</v>
      </c>
      <c r="E162" t="s">
        <v>190</v>
      </c>
      <c r="F162" t="s">
        <v>40</v>
      </c>
      <c r="G162">
        <v>12</v>
      </c>
      <c r="H162">
        <v>28</v>
      </c>
      <c r="I162">
        <v>3.9</v>
      </c>
      <c r="J162">
        <v>6.1</v>
      </c>
      <c r="K162">
        <v>7.6</v>
      </c>
      <c r="L162">
        <v>8</v>
      </c>
      <c r="M162">
        <v>678</v>
      </c>
      <c r="N162">
        <v>5130</v>
      </c>
      <c r="O162">
        <v>1</v>
      </c>
      <c r="P162">
        <v>20</v>
      </c>
      <c r="Q162">
        <v>1.2</v>
      </c>
      <c r="R162">
        <v>10.9</v>
      </c>
      <c r="S162">
        <v>2</v>
      </c>
      <c r="T162">
        <v>1600</v>
      </c>
      <c r="U162">
        <v>26</v>
      </c>
      <c r="V162">
        <v>1600</v>
      </c>
      <c r="W162">
        <v>2</v>
      </c>
    </row>
    <row r="163" spans="1:23" x14ac:dyDescent="0.3">
      <c r="A163">
        <v>3879</v>
      </c>
      <c r="B163" t="s">
        <v>199</v>
      </c>
      <c r="D163">
        <v>2023</v>
      </c>
      <c r="E163" t="s">
        <v>190</v>
      </c>
      <c r="F163" t="s">
        <v>40</v>
      </c>
      <c r="G163">
        <v>11</v>
      </c>
      <c r="H163">
        <v>26</v>
      </c>
      <c r="I163">
        <v>0.3</v>
      </c>
      <c r="J163">
        <v>6.2</v>
      </c>
      <c r="K163">
        <v>7.1</v>
      </c>
      <c r="L163">
        <v>8.1</v>
      </c>
      <c r="M163">
        <v>670</v>
      </c>
      <c r="N163">
        <v>7530</v>
      </c>
      <c r="O163">
        <v>1.2</v>
      </c>
      <c r="P163">
        <v>90</v>
      </c>
      <c r="Q163">
        <v>0.6</v>
      </c>
      <c r="R163">
        <v>7.2</v>
      </c>
      <c r="S163">
        <v>7</v>
      </c>
      <c r="T163">
        <v>1600</v>
      </c>
      <c r="U163">
        <v>130</v>
      </c>
      <c r="V163">
        <v>1600</v>
      </c>
      <c r="W163">
        <v>2</v>
      </c>
    </row>
    <row r="164" spans="1:23" x14ac:dyDescent="0.3">
      <c r="A164">
        <v>4425</v>
      </c>
      <c r="B164" t="s">
        <v>200</v>
      </c>
      <c r="D164">
        <v>2023</v>
      </c>
      <c r="E164" t="s">
        <v>190</v>
      </c>
      <c r="F164" t="s">
        <v>40</v>
      </c>
      <c r="G164">
        <v>8</v>
      </c>
      <c r="H164">
        <v>15</v>
      </c>
      <c r="I164">
        <v>7.8</v>
      </c>
      <c r="J164">
        <v>9.1999999999999993</v>
      </c>
      <c r="K164">
        <v>7.5</v>
      </c>
      <c r="L164">
        <v>8.3000000000000007</v>
      </c>
      <c r="M164">
        <v>102</v>
      </c>
      <c r="N164">
        <v>231</v>
      </c>
      <c r="O164">
        <v>1</v>
      </c>
      <c r="P164">
        <v>1</v>
      </c>
      <c r="Q164">
        <v>0.3</v>
      </c>
      <c r="R164">
        <v>4</v>
      </c>
      <c r="S164">
        <v>7</v>
      </c>
      <c r="T164">
        <v>70</v>
      </c>
      <c r="U164">
        <v>26</v>
      </c>
      <c r="V164">
        <v>1600</v>
      </c>
      <c r="W164">
        <v>2</v>
      </c>
    </row>
    <row r="165" spans="1:23" x14ac:dyDescent="0.3">
      <c r="A165">
        <v>4463</v>
      </c>
      <c r="B165" t="s">
        <v>201</v>
      </c>
      <c r="D165">
        <v>2023</v>
      </c>
      <c r="E165" t="s">
        <v>190</v>
      </c>
      <c r="F165" t="s">
        <v>40</v>
      </c>
      <c r="G165">
        <v>9</v>
      </c>
      <c r="H165">
        <v>19</v>
      </c>
      <c r="I165">
        <v>7.1</v>
      </c>
      <c r="J165">
        <v>8.1999999999999993</v>
      </c>
      <c r="K165">
        <v>7.9</v>
      </c>
      <c r="L165">
        <v>8.4</v>
      </c>
      <c r="M165">
        <v>114</v>
      </c>
      <c r="N165">
        <v>766</v>
      </c>
      <c r="O165">
        <v>1</v>
      </c>
      <c r="P165">
        <v>1</v>
      </c>
      <c r="Q165">
        <v>0.3</v>
      </c>
      <c r="R165">
        <v>2.2000000000000002</v>
      </c>
      <c r="S165">
        <v>9</v>
      </c>
      <c r="T165">
        <v>39</v>
      </c>
      <c r="U165">
        <v>20</v>
      </c>
      <c r="V165">
        <v>1600</v>
      </c>
      <c r="W165">
        <v>2</v>
      </c>
    </row>
    <row r="166" spans="1:23" x14ac:dyDescent="0.3">
      <c r="A166">
        <v>4474</v>
      </c>
      <c r="B166" t="s">
        <v>202</v>
      </c>
      <c r="D166">
        <v>2023</v>
      </c>
      <c r="E166" t="s">
        <v>190</v>
      </c>
      <c r="F166" t="s">
        <v>40</v>
      </c>
      <c r="G166">
        <v>8</v>
      </c>
      <c r="H166">
        <v>13</v>
      </c>
      <c r="I166">
        <v>9.4</v>
      </c>
      <c r="J166">
        <v>9.6</v>
      </c>
      <c r="K166">
        <v>7.6</v>
      </c>
      <c r="L166">
        <v>8.3000000000000007</v>
      </c>
      <c r="M166">
        <v>97</v>
      </c>
      <c r="N166">
        <v>347</v>
      </c>
      <c r="O166">
        <v>1</v>
      </c>
      <c r="P166">
        <v>1</v>
      </c>
      <c r="Q166">
        <v>0.4</v>
      </c>
      <c r="R166">
        <v>1.4</v>
      </c>
      <c r="S166">
        <v>2</v>
      </c>
      <c r="T166">
        <v>170</v>
      </c>
      <c r="U166">
        <v>7</v>
      </c>
      <c r="V166">
        <v>1600</v>
      </c>
      <c r="W166">
        <v>2</v>
      </c>
    </row>
    <row r="167" spans="1:23" x14ac:dyDescent="0.3">
      <c r="A167">
        <v>4481</v>
      </c>
      <c r="B167" t="s">
        <v>203</v>
      </c>
      <c r="D167">
        <v>2023</v>
      </c>
      <c r="E167" t="s">
        <v>190</v>
      </c>
      <c r="F167" t="s">
        <v>40</v>
      </c>
      <c r="G167">
        <v>19</v>
      </c>
      <c r="H167">
        <v>28</v>
      </c>
      <c r="I167">
        <v>7.6</v>
      </c>
      <c r="J167">
        <v>8.5</v>
      </c>
      <c r="K167">
        <v>6.6</v>
      </c>
      <c r="L167">
        <v>7.9</v>
      </c>
      <c r="M167">
        <v>278</v>
      </c>
      <c r="N167">
        <v>680</v>
      </c>
      <c r="O167">
        <v>1</v>
      </c>
      <c r="P167">
        <v>2.2999999999999998</v>
      </c>
      <c r="Q167">
        <v>0.3</v>
      </c>
      <c r="R167">
        <v>8.5</v>
      </c>
      <c r="S167">
        <v>2</v>
      </c>
      <c r="T167">
        <v>6</v>
      </c>
      <c r="U167">
        <v>21</v>
      </c>
      <c r="V167">
        <v>47</v>
      </c>
      <c r="W167">
        <v>2</v>
      </c>
    </row>
    <row r="168" spans="1:23" x14ac:dyDescent="0.3">
      <c r="A168">
        <v>5253</v>
      </c>
      <c r="B168" t="s">
        <v>204</v>
      </c>
      <c r="D168">
        <v>2023</v>
      </c>
      <c r="E168" t="s">
        <v>190</v>
      </c>
      <c r="F168" t="s">
        <v>40</v>
      </c>
      <c r="G168">
        <v>5</v>
      </c>
      <c r="H168">
        <v>18</v>
      </c>
      <c r="I168">
        <v>7.3</v>
      </c>
      <c r="J168">
        <v>8.3000000000000007</v>
      </c>
      <c r="K168">
        <v>7.1</v>
      </c>
      <c r="L168">
        <v>8.5</v>
      </c>
      <c r="M168">
        <v>60</v>
      </c>
      <c r="N168">
        <v>155</v>
      </c>
      <c r="O168">
        <v>1</v>
      </c>
      <c r="P168">
        <v>1</v>
      </c>
      <c r="Q168">
        <v>0.3</v>
      </c>
      <c r="R168">
        <v>0.7</v>
      </c>
      <c r="S168">
        <v>31</v>
      </c>
      <c r="T168">
        <v>94</v>
      </c>
      <c r="U168">
        <v>140</v>
      </c>
      <c r="V168">
        <v>540</v>
      </c>
      <c r="W168">
        <v>2</v>
      </c>
    </row>
    <row r="169" spans="1:23" x14ac:dyDescent="0.3">
      <c r="A169">
        <v>4426</v>
      </c>
      <c r="B169" t="s">
        <v>205</v>
      </c>
      <c r="D169">
        <v>2023</v>
      </c>
      <c r="E169" t="s">
        <v>190</v>
      </c>
      <c r="F169" t="s">
        <v>40</v>
      </c>
      <c r="G169">
        <v>8</v>
      </c>
      <c r="H169">
        <v>14</v>
      </c>
      <c r="I169">
        <v>7.6</v>
      </c>
      <c r="J169">
        <v>9.3000000000000007</v>
      </c>
      <c r="K169">
        <v>7.6</v>
      </c>
      <c r="L169">
        <v>8.3000000000000007</v>
      </c>
      <c r="M169">
        <v>92</v>
      </c>
      <c r="N169">
        <v>156</v>
      </c>
      <c r="O169">
        <v>1</v>
      </c>
      <c r="P169">
        <v>1</v>
      </c>
      <c r="Q169">
        <v>0.3</v>
      </c>
      <c r="R169">
        <v>1</v>
      </c>
      <c r="S169">
        <v>2</v>
      </c>
      <c r="T169">
        <v>130</v>
      </c>
      <c r="U169">
        <v>2</v>
      </c>
      <c r="V169">
        <v>1600</v>
      </c>
      <c r="W169">
        <v>2</v>
      </c>
    </row>
    <row r="170" spans="1:23" x14ac:dyDescent="0.3">
      <c r="A170">
        <v>4454</v>
      </c>
      <c r="B170" t="s">
        <v>206</v>
      </c>
      <c r="D170">
        <v>2023</v>
      </c>
      <c r="E170" t="s">
        <v>190</v>
      </c>
      <c r="F170" t="s">
        <v>40</v>
      </c>
      <c r="G170">
        <v>8</v>
      </c>
      <c r="H170">
        <v>15</v>
      </c>
      <c r="I170">
        <v>8.8000000000000007</v>
      </c>
      <c r="J170">
        <v>9.4</v>
      </c>
      <c r="K170">
        <v>7.5</v>
      </c>
      <c r="L170">
        <v>8.3000000000000007</v>
      </c>
      <c r="M170">
        <v>110</v>
      </c>
      <c r="N170">
        <v>485</v>
      </c>
      <c r="O170">
        <v>1</v>
      </c>
      <c r="P170">
        <v>1</v>
      </c>
      <c r="Q170">
        <v>0.4</v>
      </c>
      <c r="R170">
        <v>5.3</v>
      </c>
      <c r="S170">
        <v>2</v>
      </c>
      <c r="T170">
        <v>20</v>
      </c>
      <c r="U170">
        <v>23</v>
      </c>
      <c r="V170">
        <v>3500</v>
      </c>
      <c r="W170">
        <v>2</v>
      </c>
    </row>
    <row r="171" spans="1:23" x14ac:dyDescent="0.3">
      <c r="A171">
        <v>4466</v>
      </c>
      <c r="B171" t="s">
        <v>207</v>
      </c>
      <c r="D171">
        <v>2023</v>
      </c>
      <c r="E171" t="s">
        <v>190</v>
      </c>
      <c r="F171" t="s">
        <v>40</v>
      </c>
      <c r="G171">
        <v>8</v>
      </c>
      <c r="H171">
        <v>15</v>
      </c>
      <c r="I171">
        <v>8.8000000000000007</v>
      </c>
      <c r="J171">
        <v>9.4</v>
      </c>
      <c r="K171">
        <v>7.5</v>
      </c>
      <c r="L171">
        <v>8.4</v>
      </c>
      <c r="M171">
        <v>112</v>
      </c>
      <c r="N171">
        <v>524</v>
      </c>
      <c r="O171">
        <v>1</v>
      </c>
      <c r="P171">
        <v>1</v>
      </c>
      <c r="Q171">
        <v>0.4</v>
      </c>
      <c r="R171">
        <v>4.2</v>
      </c>
      <c r="S171">
        <v>2</v>
      </c>
      <c r="T171">
        <v>20</v>
      </c>
      <c r="U171">
        <v>33</v>
      </c>
      <c r="V171">
        <v>3500</v>
      </c>
      <c r="W171">
        <v>2</v>
      </c>
    </row>
    <row r="172" spans="1:23" x14ac:dyDescent="0.3">
      <c r="A172">
        <v>5257</v>
      </c>
      <c r="B172" t="s">
        <v>208</v>
      </c>
      <c r="D172">
        <v>2023</v>
      </c>
      <c r="E172" t="s">
        <v>190</v>
      </c>
      <c r="F172" t="s">
        <v>40</v>
      </c>
      <c r="G172">
        <v>10</v>
      </c>
      <c r="H172">
        <v>16</v>
      </c>
      <c r="I172">
        <v>8.5</v>
      </c>
      <c r="J172">
        <v>9.1</v>
      </c>
      <c r="K172">
        <v>7</v>
      </c>
      <c r="L172">
        <v>8.1</v>
      </c>
      <c r="M172">
        <v>125</v>
      </c>
      <c r="N172">
        <v>282</v>
      </c>
      <c r="O172">
        <v>1</v>
      </c>
      <c r="P172">
        <v>1</v>
      </c>
      <c r="Q172">
        <v>0.5</v>
      </c>
      <c r="R172">
        <v>2</v>
      </c>
      <c r="S172">
        <v>2</v>
      </c>
      <c r="T172">
        <v>22</v>
      </c>
      <c r="U172">
        <v>47</v>
      </c>
      <c r="V172">
        <v>1600</v>
      </c>
      <c r="W172">
        <v>2</v>
      </c>
    </row>
    <row r="173" spans="1:23" x14ac:dyDescent="0.3">
      <c r="A173">
        <v>4477</v>
      </c>
      <c r="B173" t="s">
        <v>209</v>
      </c>
      <c r="D173">
        <v>2023</v>
      </c>
      <c r="E173" t="s">
        <v>190</v>
      </c>
      <c r="F173" t="s">
        <v>40</v>
      </c>
      <c r="G173">
        <v>2</v>
      </c>
      <c r="H173">
        <v>18</v>
      </c>
      <c r="I173">
        <v>7.8</v>
      </c>
      <c r="J173">
        <v>8.8000000000000007</v>
      </c>
      <c r="K173">
        <v>7.2</v>
      </c>
      <c r="L173">
        <v>8</v>
      </c>
      <c r="M173">
        <v>67</v>
      </c>
      <c r="N173">
        <v>230</v>
      </c>
      <c r="O173">
        <v>1</v>
      </c>
      <c r="P173">
        <v>1</v>
      </c>
      <c r="Q173">
        <v>0.3</v>
      </c>
      <c r="R173">
        <v>2.9</v>
      </c>
      <c r="S173">
        <v>32</v>
      </c>
      <c r="T173">
        <v>110</v>
      </c>
      <c r="U173">
        <v>140</v>
      </c>
      <c r="V173">
        <v>920</v>
      </c>
      <c r="W173">
        <v>2</v>
      </c>
    </row>
    <row r="174" spans="1:23" x14ac:dyDescent="0.3">
      <c r="A174">
        <v>4455</v>
      </c>
      <c r="B174" t="s">
        <v>210</v>
      </c>
      <c r="D174">
        <v>2023</v>
      </c>
      <c r="E174" t="s">
        <v>190</v>
      </c>
      <c r="F174" t="s">
        <v>40</v>
      </c>
      <c r="G174">
        <v>8</v>
      </c>
      <c r="H174">
        <v>13</v>
      </c>
      <c r="I174">
        <v>9</v>
      </c>
      <c r="J174">
        <v>9.5</v>
      </c>
      <c r="K174">
        <v>7</v>
      </c>
      <c r="L174">
        <v>8.1999999999999993</v>
      </c>
      <c r="M174">
        <v>77</v>
      </c>
      <c r="N174">
        <v>496</v>
      </c>
      <c r="O174">
        <v>1</v>
      </c>
      <c r="P174">
        <v>1</v>
      </c>
      <c r="Q174">
        <v>0.3</v>
      </c>
      <c r="R174">
        <v>1.7</v>
      </c>
      <c r="S174">
        <v>2</v>
      </c>
      <c r="T174">
        <v>40</v>
      </c>
      <c r="U174">
        <v>94</v>
      </c>
      <c r="V174">
        <v>3500</v>
      </c>
      <c r="W174">
        <v>2</v>
      </c>
    </row>
    <row r="175" spans="1:23" x14ac:dyDescent="0.3">
      <c r="A175">
        <v>4482</v>
      </c>
      <c r="B175" t="s">
        <v>211</v>
      </c>
      <c r="D175">
        <v>2023</v>
      </c>
      <c r="E175" t="s">
        <v>190</v>
      </c>
      <c r="F175" t="s">
        <v>40</v>
      </c>
      <c r="G175">
        <v>19</v>
      </c>
      <c r="H175">
        <v>28</v>
      </c>
      <c r="I175">
        <v>7.5</v>
      </c>
      <c r="J175">
        <v>8.5</v>
      </c>
      <c r="K175">
        <v>6.5</v>
      </c>
      <c r="L175">
        <v>8.1</v>
      </c>
      <c r="M175">
        <v>312</v>
      </c>
      <c r="N175">
        <v>689</v>
      </c>
      <c r="O175">
        <v>1</v>
      </c>
      <c r="P175">
        <v>2.1</v>
      </c>
      <c r="Q175">
        <v>0.3</v>
      </c>
      <c r="R175">
        <v>1.6</v>
      </c>
      <c r="S175">
        <v>2</v>
      </c>
      <c r="T175">
        <v>4</v>
      </c>
      <c r="U175">
        <v>17</v>
      </c>
      <c r="V175">
        <v>70</v>
      </c>
      <c r="W175">
        <v>2</v>
      </c>
    </row>
    <row r="176" spans="1:23" x14ac:dyDescent="0.3">
      <c r="A176">
        <v>4036</v>
      </c>
      <c r="B176" t="s">
        <v>212</v>
      </c>
      <c r="D176">
        <v>2023</v>
      </c>
      <c r="E176" t="s">
        <v>190</v>
      </c>
      <c r="F176" t="s">
        <v>40</v>
      </c>
      <c r="G176">
        <v>10</v>
      </c>
      <c r="H176">
        <v>15</v>
      </c>
      <c r="I176">
        <v>7.4</v>
      </c>
      <c r="J176">
        <v>7.8</v>
      </c>
      <c r="K176">
        <v>7.9</v>
      </c>
      <c r="L176">
        <v>8.4</v>
      </c>
      <c r="M176">
        <v>231</v>
      </c>
      <c r="N176">
        <v>3640</v>
      </c>
      <c r="O176">
        <v>1</v>
      </c>
      <c r="P176">
        <v>1.8</v>
      </c>
      <c r="Q176">
        <v>1.2</v>
      </c>
      <c r="R176">
        <v>5.3</v>
      </c>
      <c r="S176">
        <v>2</v>
      </c>
      <c r="T176">
        <v>12</v>
      </c>
      <c r="U176">
        <v>21</v>
      </c>
      <c r="V176">
        <v>350</v>
      </c>
      <c r="W176">
        <v>2</v>
      </c>
    </row>
    <row r="177" spans="1:23" x14ac:dyDescent="0.3">
      <c r="A177">
        <v>4430</v>
      </c>
      <c r="B177" t="s">
        <v>213</v>
      </c>
      <c r="D177">
        <v>2023</v>
      </c>
      <c r="E177" t="s">
        <v>190</v>
      </c>
      <c r="F177" t="s">
        <v>40</v>
      </c>
      <c r="G177">
        <v>9</v>
      </c>
      <c r="H177">
        <v>23</v>
      </c>
      <c r="I177">
        <v>6.4</v>
      </c>
      <c r="J177">
        <v>8.1</v>
      </c>
      <c r="K177">
        <v>5.9</v>
      </c>
      <c r="L177">
        <v>8.3000000000000007</v>
      </c>
      <c r="M177">
        <v>83</v>
      </c>
      <c r="N177">
        <v>828</v>
      </c>
      <c r="O177">
        <v>1.5</v>
      </c>
      <c r="P177">
        <v>12</v>
      </c>
      <c r="Q177">
        <v>0.3</v>
      </c>
      <c r="R177">
        <v>6.9</v>
      </c>
      <c r="S177">
        <v>17</v>
      </c>
      <c r="T177">
        <v>350</v>
      </c>
      <c r="U177">
        <v>540</v>
      </c>
      <c r="V177">
        <v>1600</v>
      </c>
      <c r="W177">
        <v>7</v>
      </c>
    </row>
    <row r="178" spans="1:23" x14ac:dyDescent="0.3">
      <c r="A178">
        <v>4475</v>
      </c>
      <c r="B178" t="s">
        <v>214</v>
      </c>
      <c r="D178">
        <v>2023</v>
      </c>
      <c r="E178" t="s">
        <v>190</v>
      </c>
      <c r="F178" t="s">
        <v>40</v>
      </c>
      <c r="G178">
        <v>8</v>
      </c>
      <c r="H178">
        <v>13</v>
      </c>
      <c r="I178">
        <v>9.3000000000000007</v>
      </c>
      <c r="J178">
        <v>9.6999999999999993</v>
      </c>
      <c r="K178">
        <v>7.5</v>
      </c>
      <c r="L178">
        <v>8.3000000000000007</v>
      </c>
      <c r="M178">
        <v>116</v>
      </c>
      <c r="N178">
        <v>359</v>
      </c>
      <c r="O178">
        <v>1</v>
      </c>
      <c r="P178">
        <v>1</v>
      </c>
      <c r="Q178">
        <v>0.3</v>
      </c>
      <c r="R178">
        <v>2.2999999999999998</v>
      </c>
      <c r="S178">
        <v>7</v>
      </c>
      <c r="T178">
        <v>170</v>
      </c>
      <c r="U178">
        <v>21</v>
      </c>
      <c r="V178">
        <v>1600</v>
      </c>
      <c r="W178">
        <v>2</v>
      </c>
    </row>
    <row r="179" spans="1:23" x14ac:dyDescent="0.3">
      <c r="A179">
        <v>4476</v>
      </c>
      <c r="B179" t="s">
        <v>215</v>
      </c>
      <c r="D179">
        <v>2023</v>
      </c>
      <c r="E179" t="s">
        <v>190</v>
      </c>
      <c r="F179" t="s">
        <v>40</v>
      </c>
      <c r="G179">
        <v>3</v>
      </c>
      <c r="H179">
        <v>12</v>
      </c>
      <c r="I179">
        <v>8</v>
      </c>
      <c r="J179">
        <v>9.1999999999999993</v>
      </c>
      <c r="K179">
        <v>6.6</v>
      </c>
      <c r="L179">
        <v>8.5</v>
      </c>
      <c r="M179">
        <v>33</v>
      </c>
      <c r="N179">
        <v>76</v>
      </c>
      <c r="O179">
        <v>1</v>
      </c>
      <c r="P179">
        <v>1</v>
      </c>
      <c r="Q179">
        <v>0.3</v>
      </c>
      <c r="R179">
        <v>0.7</v>
      </c>
      <c r="S179">
        <v>26</v>
      </c>
      <c r="T179">
        <v>140</v>
      </c>
      <c r="U179">
        <v>84</v>
      </c>
      <c r="V179">
        <v>540</v>
      </c>
      <c r="W179">
        <v>2</v>
      </c>
    </row>
    <row r="180" spans="1:23" x14ac:dyDescent="0.3">
      <c r="A180">
        <v>4034</v>
      </c>
      <c r="B180" t="s">
        <v>216</v>
      </c>
      <c r="D180">
        <v>2023</v>
      </c>
      <c r="E180" t="s">
        <v>190</v>
      </c>
      <c r="F180" t="s">
        <v>40</v>
      </c>
      <c r="G180">
        <v>8</v>
      </c>
      <c r="H180">
        <v>15</v>
      </c>
      <c r="I180">
        <v>8.8000000000000007</v>
      </c>
      <c r="J180">
        <v>9.6999999999999993</v>
      </c>
      <c r="K180">
        <v>7.6</v>
      </c>
      <c r="L180">
        <v>8.1999999999999993</v>
      </c>
      <c r="M180">
        <v>130</v>
      </c>
      <c r="N180">
        <v>286</v>
      </c>
      <c r="O180">
        <v>1</v>
      </c>
      <c r="P180">
        <v>1</v>
      </c>
      <c r="Q180">
        <v>0.5</v>
      </c>
      <c r="R180">
        <v>3.1</v>
      </c>
      <c r="S180">
        <v>2</v>
      </c>
      <c r="T180">
        <v>68</v>
      </c>
      <c r="U180">
        <v>94</v>
      </c>
      <c r="V180">
        <v>5400</v>
      </c>
      <c r="W180">
        <v>2</v>
      </c>
    </row>
    <row r="181" spans="1:23" x14ac:dyDescent="0.3">
      <c r="A181">
        <v>4035</v>
      </c>
      <c r="B181" t="s">
        <v>217</v>
      </c>
      <c r="D181">
        <v>2023</v>
      </c>
      <c r="E181" t="s">
        <v>190</v>
      </c>
      <c r="F181" t="s">
        <v>40</v>
      </c>
      <c r="G181">
        <v>8</v>
      </c>
      <c r="H181">
        <v>14</v>
      </c>
      <c r="I181">
        <v>8.5</v>
      </c>
      <c r="J181">
        <v>9.6999999999999993</v>
      </c>
      <c r="K181">
        <v>7.5</v>
      </c>
      <c r="L181">
        <v>8.1999999999999993</v>
      </c>
      <c r="M181">
        <v>129</v>
      </c>
      <c r="N181">
        <v>292</v>
      </c>
      <c r="O181">
        <v>1</v>
      </c>
      <c r="P181">
        <v>1</v>
      </c>
      <c r="Q181">
        <v>0.6</v>
      </c>
      <c r="R181">
        <v>2.6</v>
      </c>
      <c r="S181">
        <v>2</v>
      </c>
      <c r="T181">
        <v>93</v>
      </c>
      <c r="U181">
        <v>63</v>
      </c>
      <c r="V181">
        <v>9200</v>
      </c>
      <c r="W181">
        <v>2</v>
      </c>
    </row>
    <row r="182" spans="1:23" x14ac:dyDescent="0.3">
      <c r="A182">
        <v>4462</v>
      </c>
      <c r="B182" t="s">
        <v>218</v>
      </c>
      <c r="D182">
        <v>2023</v>
      </c>
      <c r="E182" t="s">
        <v>190</v>
      </c>
      <c r="F182" t="s">
        <v>40</v>
      </c>
      <c r="G182">
        <v>9</v>
      </c>
      <c r="H182">
        <v>19</v>
      </c>
      <c r="I182">
        <v>7</v>
      </c>
      <c r="J182">
        <v>8.1999999999999993</v>
      </c>
      <c r="K182">
        <v>7.6</v>
      </c>
      <c r="L182">
        <v>8.4</v>
      </c>
      <c r="M182">
        <v>104</v>
      </c>
      <c r="N182">
        <v>682</v>
      </c>
      <c r="O182">
        <v>1</v>
      </c>
      <c r="P182">
        <v>1</v>
      </c>
      <c r="Q182">
        <v>0.3</v>
      </c>
      <c r="R182">
        <v>2.6</v>
      </c>
      <c r="S182">
        <v>5</v>
      </c>
      <c r="T182">
        <v>34</v>
      </c>
      <c r="U182">
        <v>26</v>
      </c>
      <c r="V182">
        <v>1600</v>
      </c>
      <c r="W182">
        <v>2</v>
      </c>
    </row>
    <row r="183" spans="1:23" x14ac:dyDescent="0.3">
      <c r="A183">
        <v>3867</v>
      </c>
      <c r="B183" t="s">
        <v>219</v>
      </c>
      <c r="D183">
        <v>2023</v>
      </c>
      <c r="E183" t="s">
        <v>190</v>
      </c>
      <c r="F183" t="s">
        <v>40</v>
      </c>
      <c r="G183">
        <v>3</v>
      </c>
      <c r="H183">
        <v>18</v>
      </c>
      <c r="I183">
        <v>7.6</v>
      </c>
      <c r="J183">
        <v>8.5</v>
      </c>
      <c r="K183">
        <v>7.2</v>
      </c>
      <c r="L183">
        <v>7.9</v>
      </c>
      <c r="M183">
        <v>110</v>
      </c>
      <c r="N183">
        <v>218</v>
      </c>
      <c r="O183">
        <v>1</v>
      </c>
      <c r="P183">
        <v>1</v>
      </c>
      <c r="Q183">
        <v>0.3</v>
      </c>
      <c r="R183">
        <v>1.6</v>
      </c>
      <c r="S183">
        <v>22</v>
      </c>
      <c r="T183">
        <v>150</v>
      </c>
      <c r="U183">
        <v>79</v>
      </c>
      <c r="V183">
        <v>540</v>
      </c>
      <c r="W183">
        <v>2</v>
      </c>
    </row>
    <row r="184" spans="1:23" x14ac:dyDescent="0.3">
      <c r="A184">
        <v>1870</v>
      </c>
      <c r="B184" t="s">
        <v>220</v>
      </c>
      <c r="D184">
        <v>2023</v>
      </c>
      <c r="E184" t="s">
        <v>190</v>
      </c>
      <c r="F184" t="s">
        <v>40</v>
      </c>
      <c r="G184">
        <v>8</v>
      </c>
      <c r="H184">
        <v>11</v>
      </c>
      <c r="I184">
        <v>4.3</v>
      </c>
      <c r="J184">
        <v>8.6999999999999993</v>
      </c>
      <c r="K184">
        <v>7.4</v>
      </c>
      <c r="L184">
        <v>8.3000000000000007</v>
      </c>
      <c r="M184">
        <v>253</v>
      </c>
      <c r="N184">
        <v>1284</v>
      </c>
      <c r="O184">
        <v>1</v>
      </c>
      <c r="P184">
        <v>26</v>
      </c>
      <c r="Q184">
        <v>0.5</v>
      </c>
      <c r="R184">
        <v>15.7</v>
      </c>
      <c r="S184">
        <v>2</v>
      </c>
      <c r="T184">
        <v>1600</v>
      </c>
      <c r="U184">
        <v>21</v>
      </c>
      <c r="V184">
        <v>1600</v>
      </c>
      <c r="W184">
        <v>2</v>
      </c>
    </row>
    <row r="185" spans="1:23" x14ac:dyDescent="0.3">
      <c r="A185">
        <v>3875</v>
      </c>
      <c r="B185" t="s">
        <v>221</v>
      </c>
      <c r="D185">
        <v>2023</v>
      </c>
      <c r="E185" t="s">
        <v>190</v>
      </c>
      <c r="F185" t="s">
        <v>40</v>
      </c>
      <c r="G185">
        <v>7</v>
      </c>
      <c r="H185">
        <v>9</v>
      </c>
      <c r="I185">
        <v>7.2</v>
      </c>
      <c r="J185">
        <v>8.8000000000000007</v>
      </c>
      <c r="K185">
        <v>7.7</v>
      </c>
      <c r="L185">
        <v>8.3000000000000007</v>
      </c>
      <c r="M185">
        <v>223</v>
      </c>
      <c r="N185">
        <v>853</v>
      </c>
      <c r="O185">
        <v>1</v>
      </c>
      <c r="P185">
        <v>7.5</v>
      </c>
      <c r="Q185">
        <v>2.8</v>
      </c>
      <c r="R185">
        <v>10.4</v>
      </c>
      <c r="S185">
        <v>2</v>
      </c>
      <c r="T185">
        <v>33</v>
      </c>
      <c r="U185">
        <v>24</v>
      </c>
      <c r="V185">
        <v>540</v>
      </c>
      <c r="W185">
        <v>2</v>
      </c>
    </row>
    <row r="186" spans="1:23" x14ac:dyDescent="0.3">
      <c r="A186">
        <v>4480</v>
      </c>
      <c r="B186" t="s">
        <v>222</v>
      </c>
      <c r="D186">
        <v>2023</v>
      </c>
      <c r="E186" t="s">
        <v>190</v>
      </c>
      <c r="F186" t="s">
        <v>40</v>
      </c>
      <c r="G186">
        <v>6</v>
      </c>
      <c r="H186">
        <v>8</v>
      </c>
      <c r="I186">
        <v>6.8</v>
      </c>
      <c r="J186">
        <v>8.5</v>
      </c>
      <c r="K186">
        <v>7.7</v>
      </c>
      <c r="L186">
        <v>8.3000000000000007</v>
      </c>
      <c r="M186">
        <v>221</v>
      </c>
      <c r="N186">
        <v>824</v>
      </c>
      <c r="O186">
        <v>1</v>
      </c>
      <c r="P186">
        <v>2.6</v>
      </c>
      <c r="Q186">
        <v>1.9</v>
      </c>
      <c r="R186">
        <v>8.8000000000000007</v>
      </c>
      <c r="S186">
        <v>2</v>
      </c>
      <c r="T186">
        <v>24</v>
      </c>
      <c r="U186">
        <v>26</v>
      </c>
      <c r="V186">
        <v>350</v>
      </c>
      <c r="W186">
        <v>2</v>
      </c>
    </row>
    <row r="187" spans="1:23" x14ac:dyDescent="0.3">
      <c r="A187">
        <v>2789</v>
      </c>
      <c r="B187" t="s">
        <v>223</v>
      </c>
      <c r="D187">
        <v>2023</v>
      </c>
      <c r="E187" t="s">
        <v>190</v>
      </c>
      <c r="F187" t="s">
        <v>224</v>
      </c>
      <c r="G187">
        <v>26</v>
      </c>
      <c r="H187">
        <v>36</v>
      </c>
      <c r="I187">
        <v>4.4000000000000004</v>
      </c>
      <c r="J187">
        <v>5.2</v>
      </c>
      <c r="K187">
        <v>7.2</v>
      </c>
      <c r="L187">
        <v>8.1</v>
      </c>
      <c r="M187">
        <v>1245</v>
      </c>
      <c r="N187">
        <v>1750</v>
      </c>
      <c r="O187">
        <v>7.2</v>
      </c>
      <c r="P187">
        <v>13</v>
      </c>
      <c r="Q187">
        <v>0.3</v>
      </c>
      <c r="R187">
        <v>2.4</v>
      </c>
      <c r="S187">
        <v>20</v>
      </c>
      <c r="T187">
        <v>150</v>
      </c>
      <c r="U187">
        <v>150</v>
      </c>
      <c r="V187">
        <v>900</v>
      </c>
      <c r="W187">
        <v>7</v>
      </c>
    </row>
    <row r="188" spans="1:23" x14ac:dyDescent="0.3">
      <c r="A188">
        <v>2178</v>
      </c>
      <c r="B188" t="s">
        <v>225</v>
      </c>
      <c r="D188">
        <v>2023</v>
      </c>
      <c r="E188" t="s">
        <v>190</v>
      </c>
      <c r="F188" t="s">
        <v>224</v>
      </c>
      <c r="G188">
        <v>20</v>
      </c>
      <c r="H188">
        <v>29</v>
      </c>
      <c r="I188">
        <v>0.3</v>
      </c>
      <c r="J188">
        <v>6</v>
      </c>
      <c r="K188">
        <v>7.4</v>
      </c>
      <c r="L188">
        <v>8</v>
      </c>
      <c r="M188">
        <v>762</v>
      </c>
      <c r="N188">
        <v>1066</v>
      </c>
      <c r="O188">
        <v>3</v>
      </c>
      <c r="P188">
        <v>18</v>
      </c>
      <c r="Q188">
        <v>0.7</v>
      </c>
      <c r="R188">
        <v>4.9000000000000004</v>
      </c>
      <c r="S188">
        <v>4</v>
      </c>
      <c r="T188">
        <v>170</v>
      </c>
      <c r="U188">
        <v>45</v>
      </c>
      <c r="V188">
        <v>180</v>
      </c>
      <c r="W188">
        <v>2</v>
      </c>
    </row>
    <row r="189" spans="1:23" x14ac:dyDescent="0.3">
      <c r="A189">
        <v>2790</v>
      </c>
      <c r="B189" t="s">
        <v>226</v>
      </c>
      <c r="D189">
        <v>2023</v>
      </c>
      <c r="E189" t="s">
        <v>190</v>
      </c>
      <c r="F189" t="s">
        <v>224</v>
      </c>
      <c r="G189">
        <v>26</v>
      </c>
      <c r="H189">
        <v>31</v>
      </c>
      <c r="I189">
        <v>7</v>
      </c>
      <c r="J189">
        <v>7.9</v>
      </c>
      <c r="K189">
        <v>6</v>
      </c>
      <c r="L189">
        <v>7.2</v>
      </c>
      <c r="M189">
        <v>245</v>
      </c>
      <c r="N189">
        <v>5476</v>
      </c>
      <c r="O189">
        <v>1.8</v>
      </c>
      <c r="P189">
        <v>3</v>
      </c>
      <c r="Q189">
        <v>0.3</v>
      </c>
      <c r="R189">
        <v>1.7</v>
      </c>
      <c r="S189">
        <v>6</v>
      </c>
      <c r="T189">
        <v>11</v>
      </c>
      <c r="U189">
        <v>21</v>
      </c>
      <c r="V189">
        <v>43</v>
      </c>
      <c r="W189">
        <v>2</v>
      </c>
    </row>
    <row r="190" spans="1:23" x14ac:dyDescent="0.3">
      <c r="A190">
        <v>3923</v>
      </c>
      <c r="B190" t="s">
        <v>227</v>
      </c>
      <c r="D190">
        <v>2023</v>
      </c>
      <c r="E190" t="s">
        <v>190</v>
      </c>
      <c r="F190" t="s">
        <v>228</v>
      </c>
      <c r="G190">
        <v>23</v>
      </c>
      <c r="H190">
        <v>31</v>
      </c>
      <c r="I190">
        <v>1.2</v>
      </c>
      <c r="J190">
        <v>6.8</v>
      </c>
      <c r="K190">
        <v>6.9</v>
      </c>
      <c r="L190">
        <v>7.7</v>
      </c>
      <c r="M190">
        <v>328</v>
      </c>
      <c r="N190">
        <v>717</v>
      </c>
      <c r="O190">
        <v>4.3</v>
      </c>
      <c r="P190">
        <v>8</v>
      </c>
      <c r="Q190">
        <v>0.3</v>
      </c>
      <c r="R190">
        <v>9.6999999999999993</v>
      </c>
      <c r="S190">
        <v>3300</v>
      </c>
      <c r="T190">
        <v>54000</v>
      </c>
      <c r="U190">
        <v>7900</v>
      </c>
      <c r="V190">
        <v>160000</v>
      </c>
      <c r="W190">
        <v>13</v>
      </c>
    </row>
    <row r="191" spans="1:23" x14ac:dyDescent="0.3">
      <c r="A191">
        <v>20046</v>
      </c>
      <c r="B191" t="s">
        <v>229</v>
      </c>
      <c r="D191">
        <v>2023</v>
      </c>
      <c r="E191" t="s">
        <v>230</v>
      </c>
      <c r="F191" t="s">
        <v>231</v>
      </c>
      <c r="G191">
        <v>25</v>
      </c>
      <c r="H191">
        <v>39</v>
      </c>
      <c r="I191">
        <v>0.3</v>
      </c>
      <c r="J191">
        <v>6</v>
      </c>
      <c r="K191">
        <v>6.7</v>
      </c>
      <c r="L191">
        <v>7.9</v>
      </c>
      <c r="M191">
        <v>1357</v>
      </c>
      <c r="N191">
        <v>1563</v>
      </c>
      <c r="O191">
        <v>4</v>
      </c>
      <c r="P191">
        <v>18</v>
      </c>
      <c r="Q191">
        <v>0.3</v>
      </c>
      <c r="R191">
        <v>1</v>
      </c>
      <c r="S191">
        <v>2</v>
      </c>
      <c r="T191">
        <v>11000</v>
      </c>
      <c r="U191">
        <v>2</v>
      </c>
      <c r="V191">
        <v>22000</v>
      </c>
      <c r="W191">
        <v>2</v>
      </c>
    </row>
    <row r="192" spans="1:23" x14ac:dyDescent="0.3">
      <c r="A192">
        <v>3054</v>
      </c>
      <c r="B192" t="s">
        <v>232</v>
      </c>
      <c r="D192">
        <v>2023</v>
      </c>
      <c r="E192" t="s">
        <v>190</v>
      </c>
      <c r="F192" t="s">
        <v>233</v>
      </c>
      <c r="G192">
        <v>25</v>
      </c>
      <c r="H192">
        <v>29</v>
      </c>
      <c r="I192">
        <v>1.6</v>
      </c>
      <c r="J192">
        <v>6</v>
      </c>
      <c r="K192">
        <v>8.5</v>
      </c>
      <c r="L192">
        <v>11.2</v>
      </c>
      <c r="M192">
        <v>599</v>
      </c>
      <c r="N192">
        <v>1043</v>
      </c>
      <c r="O192">
        <v>1</v>
      </c>
      <c r="P192">
        <v>5.4</v>
      </c>
      <c r="Q192">
        <v>0.9</v>
      </c>
      <c r="R192">
        <v>3.8</v>
      </c>
      <c r="S192">
        <v>2</v>
      </c>
      <c r="T192">
        <v>17</v>
      </c>
      <c r="U192">
        <v>17</v>
      </c>
      <c r="V192">
        <v>280</v>
      </c>
      <c r="W192">
        <v>2</v>
      </c>
    </row>
    <row r="193" spans="1:23" x14ac:dyDescent="0.3">
      <c r="A193">
        <v>4665</v>
      </c>
      <c r="B193" t="s">
        <v>234</v>
      </c>
      <c r="D193">
        <v>2023</v>
      </c>
      <c r="E193" t="s">
        <v>190</v>
      </c>
      <c r="F193" t="s">
        <v>233</v>
      </c>
      <c r="G193">
        <v>25</v>
      </c>
      <c r="H193">
        <v>28</v>
      </c>
      <c r="I193">
        <v>2.8</v>
      </c>
      <c r="J193">
        <v>6.1</v>
      </c>
      <c r="K193">
        <v>7.5</v>
      </c>
      <c r="L193">
        <v>8.8000000000000007</v>
      </c>
      <c r="M193">
        <v>522</v>
      </c>
      <c r="N193">
        <v>856</v>
      </c>
      <c r="O193">
        <v>1.8</v>
      </c>
      <c r="P193">
        <v>3.2</v>
      </c>
      <c r="Q193">
        <v>0.4</v>
      </c>
      <c r="R193">
        <v>17</v>
      </c>
      <c r="S193">
        <v>2</v>
      </c>
      <c r="T193">
        <v>2</v>
      </c>
      <c r="U193">
        <v>26</v>
      </c>
      <c r="V193">
        <v>58</v>
      </c>
      <c r="W193">
        <v>2</v>
      </c>
    </row>
    <row r="194" spans="1:23" x14ac:dyDescent="0.3">
      <c r="A194">
        <v>3055</v>
      </c>
      <c r="B194" t="s">
        <v>235</v>
      </c>
      <c r="D194">
        <v>2023</v>
      </c>
      <c r="E194" t="s">
        <v>230</v>
      </c>
      <c r="F194" t="s">
        <v>233</v>
      </c>
      <c r="G194">
        <v>25</v>
      </c>
      <c r="H194">
        <v>31</v>
      </c>
      <c r="I194">
        <v>0.9</v>
      </c>
      <c r="J194">
        <v>4.5999999999999996</v>
      </c>
      <c r="K194">
        <v>6.9</v>
      </c>
      <c r="L194">
        <v>8.1999999999999993</v>
      </c>
      <c r="M194">
        <v>1322</v>
      </c>
      <c r="N194">
        <v>1659</v>
      </c>
      <c r="O194">
        <v>4.4000000000000004</v>
      </c>
      <c r="P194">
        <v>30</v>
      </c>
      <c r="Q194">
        <v>4.2</v>
      </c>
      <c r="R194">
        <v>8</v>
      </c>
      <c r="S194">
        <v>4</v>
      </c>
      <c r="T194">
        <v>46</v>
      </c>
      <c r="U194">
        <v>220</v>
      </c>
      <c r="V194">
        <v>920</v>
      </c>
      <c r="W194">
        <v>2</v>
      </c>
    </row>
    <row r="195" spans="1:23" x14ac:dyDescent="0.3">
      <c r="A195">
        <v>3050</v>
      </c>
      <c r="B195" t="s">
        <v>236</v>
      </c>
      <c r="D195">
        <v>2023</v>
      </c>
      <c r="E195" t="s">
        <v>193</v>
      </c>
      <c r="F195" t="s">
        <v>237</v>
      </c>
      <c r="G195">
        <v>18</v>
      </c>
      <c r="H195">
        <v>26</v>
      </c>
      <c r="I195">
        <v>0.3</v>
      </c>
      <c r="J195">
        <v>11</v>
      </c>
      <c r="K195">
        <v>7.1</v>
      </c>
      <c r="L195">
        <v>7.5</v>
      </c>
      <c r="M195">
        <v>160</v>
      </c>
      <c r="N195">
        <v>201</v>
      </c>
      <c r="O195">
        <v>1</v>
      </c>
      <c r="P195">
        <v>1</v>
      </c>
      <c r="Q195">
        <v>0.3</v>
      </c>
      <c r="R195">
        <v>0.3</v>
      </c>
      <c r="S195">
        <v>2</v>
      </c>
      <c r="T195">
        <v>2</v>
      </c>
      <c r="U195">
        <v>2</v>
      </c>
      <c r="V195">
        <v>2</v>
      </c>
      <c r="W195">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A70B-31E6-4156-8F4A-1497045BA33B}">
  <dimension ref="A1:V281"/>
  <sheetViews>
    <sheetView topLeftCell="A160" zoomScale="70" zoomScaleNormal="70" workbookViewId="0">
      <selection activeCell="G182" sqref="G182"/>
    </sheetView>
  </sheetViews>
  <sheetFormatPr defaultRowHeight="14.4" x14ac:dyDescent="0.3"/>
  <cols>
    <col min="1" max="1" width="10.77734375" customWidth="1"/>
    <col min="2" max="2" width="42" customWidth="1"/>
    <col min="3" max="3" width="65" bestFit="1" customWidth="1"/>
    <col min="4" max="4" width="13.5546875" customWidth="1"/>
    <col min="5" max="5" width="16.21875" customWidth="1"/>
    <col min="6" max="6" width="12.6640625" customWidth="1"/>
    <col min="7" max="7" width="21.5546875" customWidth="1"/>
    <col min="8" max="8" width="21.88671875" customWidth="1"/>
    <col min="9" max="9" width="15.6640625" customWidth="1"/>
    <col min="10" max="10" width="16" customWidth="1"/>
    <col min="11" max="11" width="10.109375" customWidth="1"/>
    <col min="12" max="12" width="10.44140625" customWidth="1"/>
    <col min="13" max="13" width="32.109375" customWidth="1"/>
    <col min="14" max="14" width="32.44140625" customWidth="1"/>
    <col min="15" max="15" width="17.6640625" customWidth="1"/>
    <col min="16" max="16" width="18" customWidth="1"/>
    <col min="17" max="17" width="21.109375" customWidth="1"/>
    <col min="18" max="18" width="21.44140625" customWidth="1"/>
    <col min="19" max="19" width="31.6640625" customWidth="1"/>
    <col min="20" max="20" width="32" customWidth="1"/>
    <col min="21" max="21" width="31.6640625" customWidth="1"/>
    <col min="22" max="22" width="32"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s="1">
        <v>4085</v>
      </c>
      <c r="B2" s="2" t="s">
        <v>416</v>
      </c>
      <c r="C2" s="1" t="s">
        <v>462</v>
      </c>
      <c r="D2" s="1">
        <v>2022</v>
      </c>
      <c r="E2" s="1" t="s">
        <v>25</v>
      </c>
      <c r="F2" s="1" t="s">
        <v>26</v>
      </c>
      <c r="G2" s="1">
        <v>12</v>
      </c>
      <c r="H2" s="1">
        <v>29</v>
      </c>
      <c r="I2" s="1">
        <v>3.3</v>
      </c>
      <c r="J2" s="1">
        <v>5.2</v>
      </c>
      <c r="K2" s="1">
        <v>6.5</v>
      </c>
      <c r="L2" s="1">
        <v>6.6</v>
      </c>
      <c r="M2" s="1">
        <v>429</v>
      </c>
      <c r="N2" s="1">
        <v>1123</v>
      </c>
      <c r="O2" s="1">
        <v>2</v>
      </c>
      <c r="P2" s="1">
        <v>2.9</v>
      </c>
      <c r="Q2" s="4">
        <v>0.64</v>
      </c>
      <c r="R2" s="4">
        <v>3.84</v>
      </c>
      <c r="S2" s="6">
        <f>GEOMEAN(S14:S195)</f>
        <v>34.440349518677998</v>
      </c>
      <c r="T2" s="5">
        <f>GEOMEAN(T14:T195)</f>
        <v>134.43040320321438</v>
      </c>
      <c r="U2" s="5">
        <f>GEOMEAN(U14:U195)</f>
        <v>104.56068993249995</v>
      </c>
      <c r="V2" s="5">
        <f>GEOMEAN(V14:V154)</f>
        <v>517.42944196533324</v>
      </c>
    </row>
    <row r="3" spans="1:22" x14ac:dyDescent="0.3">
      <c r="A3" s="1">
        <v>2396</v>
      </c>
      <c r="B3" s="3" t="s">
        <v>416</v>
      </c>
      <c r="C3" s="1" t="s">
        <v>417</v>
      </c>
      <c r="D3" s="1">
        <v>2022</v>
      </c>
      <c r="E3" s="1" t="s">
        <v>25</v>
      </c>
      <c r="F3" s="1" t="s">
        <v>26</v>
      </c>
      <c r="G3" s="1">
        <v>12</v>
      </c>
      <c r="H3" s="1">
        <v>26</v>
      </c>
      <c r="I3" s="1">
        <v>5.9</v>
      </c>
      <c r="J3" s="1">
        <v>7.2</v>
      </c>
      <c r="K3" s="1">
        <v>7.5</v>
      </c>
      <c r="L3" s="1">
        <v>7.6</v>
      </c>
      <c r="M3" s="1">
        <v>429</v>
      </c>
      <c r="N3" s="1">
        <v>1123</v>
      </c>
      <c r="O3" s="1">
        <v>1.9</v>
      </c>
      <c r="P3" s="1">
        <v>3.2</v>
      </c>
      <c r="Q3" s="4">
        <v>0.64</v>
      </c>
      <c r="R3" s="4">
        <v>3.84</v>
      </c>
      <c r="S3" s="6">
        <f t="shared" ref="S3:U13" si="0">GEOMEAN(S15:S196)</f>
        <v>34.992324085929503</v>
      </c>
      <c r="T3" s="5">
        <f t="shared" si="0"/>
        <v>135.47762548319935</v>
      </c>
      <c r="U3" s="5">
        <f t="shared" si="0"/>
        <v>106.07940440181929</v>
      </c>
      <c r="V3" s="5">
        <f t="shared" ref="V3:V13" si="1">GEOMEAN(V15:V155)</f>
        <v>515.30680130244195</v>
      </c>
    </row>
    <row r="4" spans="1:22" x14ac:dyDescent="0.3">
      <c r="A4" s="1">
        <v>2401</v>
      </c>
      <c r="B4" s="2" t="s">
        <v>418</v>
      </c>
      <c r="C4" s="1" t="s">
        <v>419</v>
      </c>
      <c r="D4" s="1">
        <v>2022</v>
      </c>
      <c r="E4" s="1" t="s">
        <v>25</v>
      </c>
      <c r="F4" s="1" t="s">
        <v>26</v>
      </c>
      <c r="G4" s="1">
        <v>17</v>
      </c>
      <c r="H4" s="1">
        <v>36</v>
      </c>
      <c r="I4" s="1">
        <v>5.8</v>
      </c>
      <c r="J4" s="1">
        <v>6.6</v>
      </c>
      <c r="K4" s="1">
        <v>7.5</v>
      </c>
      <c r="L4" s="1">
        <v>7.8</v>
      </c>
      <c r="M4" s="1">
        <v>94</v>
      </c>
      <c r="N4" s="1">
        <v>318</v>
      </c>
      <c r="O4" s="1">
        <v>1.3</v>
      </c>
      <c r="P4" s="1">
        <v>1.6</v>
      </c>
      <c r="Q4" s="4">
        <v>0.64</v>
      </c>
      <c r="R4" s="4">
        <v>3.84</v>
      </c>
      <c r="S4" s="6">
        <f t="shared" si="0"/>
        <v>35.421294836252443</v>
      </c>
      <c r="T4" s="5">
        <f t="shared" si="0"/>
        <v>131.73432652250105</v>
      </c>
      <c r="U4" s="5">
        <f t="shared" si="0"/>
        <v>107.33078361963376</v>
      </c>
      <c r="V4" s="5">
        <f t="shared" si="1"/>
        <v>505.38890671986053</v>
      </c>
    </row>
    <row r="5" spans="1:22" x14ac:dyDescent="0.3">
      <c r="A5" s="1">
        <v>3554</v>
      </c>
      <c r="B5" s="3" t="s">
        <v>404</v>
      </c>
      <c r="C5" s="1" t="s">
        <v>399</v>
      </c>
      <c r="D5" s="1">
        <v>2022</v>
      </c>
      <c r="E5" s="1" t="s">
        <v>25</v>
      </c>
      <c r="F5" s="1" t="s">
        <v>26</v>
      </c>
      <c r="G5" s="1">
        <v>19</v>
      </c>
      <c r="H5" s="1">
        <v>34</v>
      </c>
      <c r="I5" s="1">
        <v>7.4</v>
      </c>
      <c r="J5" s="1">
        <v>7.8</v>
      </c>
      <c r="K5" s="1">
        <v>7.3</v>
      </c>
      <c r="L5" s="1">
        <v>7.6</v>
      </c>
      <c r="M5" s="1">
        <v>429</v>
      </c>
      <c r="N5" s="4">
        <v>1123</v>
      </c>
      <c r="O5" s="1">
        <v>1.8</v>
      </c>
      <c r="P5" s="1">
        <v>2.7</v>
      </c>
      <c r="Q5" s="4">
        <v>0.64</v>
      </c>
      <c r="R5" s="4">
        <v>3.84</v>
      </c>
      <c r="S5" s="6">
        <f t="shared" si="0"/>
        <v>35.483229451833822</v>
      </c>
      <c r="T5" s="5">
        <f t="shared" si="0"/>
        <v>132.61443315514398</v>
      </c>
      <c r="U5" s="5">
        <f t="shared" si="0"/>
        <v>107.21530302509528</v>
      </c>
      <c r="V5" s="5">
        <f t="shared" si="1"/>
        <v>508.22745575214327</v>
      </c>
    </row>
    <row r="6" spans="1:22" x14ac:dyDescent="0.3">
      <c r="A6" s="1">
        <v>2390</v>
      </c>
      <c r="B6" s="2" t="s">
        <v>420</v>
      </c>
      <c r="C6" s="1" t="s">
        <v>463</v>
      </c>
      <c r="D6" s="1">
        <v>2022</v>
      </c>
      <c r="E6" s="1" t="s">
        <v>25</v>
      </c>
      <c r="F6" s="1" t="s">
        <v>26</v>
      </c>
      <c r="G6" s="1">
        <v>16</v>
      </c>
      <c r="H6" s="1">
        <v>33</v>
      </c>
      <c r="I6" s="1">
        <v>7.4</v>
      </c>
      <c r="J6" s="1">
        <v>8</v>
      </c>
      <c r="K6" s="1">
        <v>7.4</v>
      </c>
      <c r="L6" s="1">
        <v>7.8</v>
      </c>
      <c r="M6" s="4">
        <v>429</v>
      </c>
      <c r="N6" s="4">
        <v>1123</v>
      </c>
      <c r="O6" s="1">
        <v>1.3</v>
      </c>
      <c r="P6" s="1">
        <v>2</v>
      </c>
      <c r="Q6" s="4">
        <v>0.64</v>
      </c>
      <c r="R6" s="4">
        <v>3.84</v>
      </c>
      <c r="S6" s="6">
        <f t="shared" si="0"/>
        <v>35.545978017015869</v>
      </c>
      <c r="T6" s="5">
        <f t="shared" si="0"/>
        <v>133.52939935658924</v>
      </c>
      <c r="U6" s="5">
        <f t="shared" si="0"/>
        <v>107.09864392765532</v>
      </c>
      <c r="V6" s="5">
        <f t="shared" si="1"/>
        <v>516.78492573623464</v>
      </c>
    </row>
    <row r="7" spans="1:22" x14ac:dyDescent="0.3">
      <c r="A7" s="1">
        <v>4000</v>
      </c>
      <c r="B7" s="3" t="s">
        <v>481</v>
      </c>
      <c r="C7" s="1" t="s">
        <v>482</v>
      </c>
      <c r="D7" s="1">
        <v>2022</v>
      </c>
      <c r="E7" s="1" t="s">
        <v>25</v>
      </c>
      <c r="F7" s="1" t="s">
        <v>26</v>
      </c>
      <c r="G7" s="1">
        <v>15</v>
      </c>
      <c r="H7" s="1">
        <v>30</v>
      </c>
      <c r="I7" s="1">
        <v>6.5</v>
      </c>
      <c r="J7" s="1">
        <v>7.5</v>
      </c>
      <c r="K7" s="1">
        <v>7.2</v>
      </c>
      <c r="L7" s="1">
        <v>7.5</v>
      </c>
      <c r="M7" s="4">
        <v>429</v>
      </c>
      <c r="N7" s="4">
        <v>1123</v>
      </c>
      <c r="O7" s="1">
        <v>2.2000000000000002</v>
      </c>
      <c r="P7" s="1">
        <v>3.6</v>
      </c>
      <c r="Q7" s="4">
        <v>0.64</v>
      </c>
      <c r="R7" s="4">
        <v>3.84</v>
      </c>
      <c r="S7" s="6">
        <f t="shared" si="0"/>
        <v>35.992481075572243</v>
      </c>
      <c r="T7" s="5">
        <f t="shared" si="0"/>
        <v>135.09339490038982</v>
      </c>
      <c r="U7" s="5">
        <f t="shared" si="0"/>
        <v>108.7894224321866</v>
      </c>
      <c r="V7" s="5">
        <f t="shared" si="1"/>
        <v>521.08180627114336</v>
      </c>
    </row>
    <row r="8" spans="1:22" x14ac:dyDescent="0.3">
      <c r="A8" s="1">
        <v>2381</v>
      </c>
      <c r="B8" s="2" t="s">
        <v>421</v>
      </c>
      <c r="C8" s="1" t="s">
        <v>422</v>
      </c>
      <c r="D8" s="1">
        <v>2022</v>
      </c>
      <c r="E8" s="1" t="s">
        <v>25</v>
      </c>
      <c r="F8" s="1" t="s">
        <v>26</v>
      </c>
      <c r="G8" s="1">
        <v>18.5</v>
      </c>
      <c r="H8" s="1">
        <v>33.5</v>
      </c>
      <c r="I8" s="1">
        <v>7.3</v>
      </c>
      <c r="J8" s="1">
        <v>8.1</v>
      </c>
      <c r="K8" s="1">
        <v>7</v>
      </c>
      <c r="L8" s="1">
        <v>7.6</v>
      </c>
      <c r="M8" s="4">
        <v>429</v>
      </c>
      <c r="N8" s="4">
        <v>1123</v>
      </c>
      <c r="O8" s="1">
        <v>1.6</v>
      </c>
      <c r="P8" s="1">
        <v>2.8</v>
      </c>
      <c r="Q8" s="4">
        <v>0.64</v>
      </c>
      <c r="R8" s="4">
        <v>3.84</v>
      </c>
      <c r="S8" s="6">
        <f t="shared" si="0"/>
        <v>36.595313622483602</v>
      </c>
      <c r="T8" s="5">
        <f t="shared" si="0"/>
        <v>133.20936686487525</v>
      </c>
      <c r="U8" s="5">
        <f t="shared" si="0"/>
        <v>109.68285519401145</v>
      </c>
      <c r="V8" s="5">
        <f t="shared" si="1"/>
        <v>517.05463653411266</v>
      </c>
    </row>
    <row r="9" spans="1:22" x14ac:dyDescent="0.3">
      <c r="A9" s="1">
        <v>1034</v>
      </c>
      <c r="B9" s="3" t="s">
        <v>423</v>
      </c>
      <c r="C9" s="1" t="s">
        <v>464</v>
      </c>
      <c r="D9" s="1">
        <v>2022</v>
      </c>
      <c r="E9" s="1" t="s">
        <v>25</v>
      </c>
      <c r="F9" s="1" t="s">
        <v>26</v>
      </c>
      <c r="G9" s="1">
        <v>12</v>
      </c>
      <c r="H9" s="1">
        <v>27</v>
      </c>
      <c r="I9" s="1">
        <v>7.8</v>
      </c>
      <c r="J9" s="1">
        <v>8.5</v>
      </c>
      <c r="K9" s="1">
        <v>7.3</v>
      </c>
      <c r="L9" s="1">
        <v>7.5</v>
      </c>
      <c r="M9" s="4">
        <v>429</v>
      </c>
      <c r="N9" s="4">
        <v>1123</v>
      </c>
      <c r="O9" s="1">
        <v>1.1000000000000001</v>
      </c>
      <c r="P9" s="1">
        <v>1.8</v>
      </c>
      <c r="Q9" s="4">
        <v>0.64</v>
      </c>
      <c r="R9" s="4">
        <v>3.84</v>
      </c>
      <c r="S9" s="6">
        <f t="shared" si="0"/>
        <v>37.215388504837016</v>
      </c>
      <c r="T9" s="5">
        <f t="shared" si="0"/>
        <v>133.60766663412522</v>
      </c>
      <c r="U9" s="5">
        <f t="shared" si="0"/>
        <v>110.72985241462494</v>
      </c>
      <c r="V9" s="5">
        <f t="shared" si="1"/>
        <v>510.65732486724903</v>
      </c>
    </row>
    <row r="10" spans="1:22" x14ac:dyDescent="0.3">
      <c r="A10" s="1">
        <v>2392</v>
      </c>
      <c r="B10" s="2" t="s">
        <v>424</v>
      </c>
      <c r="C10" s="1" t="s">
        <v>425</v>
      </c>
      <c r="D10" s="1">
        <v>2022</v>
      </c>
      <c r="E10" s="1" t="s">
        <v>25</v>
      </c>
      <c r="F10" s="1" t="s">
        <v>26</v>
      </c>
      <c r="G10" s="1">
        <v>13</v>
      </c>
      <c r="H10" s="1">
        <v>26</v>
      </c>
      <c r="I10" s="1">
        <v>7.3</v>
      </c>
      <c r="J10" s="1">
        <v>7.8</v>
      </c>
      <c r="K10" s="1">
        <v>7.4</v>
      </c>
      <c r="L10" s="1">
        <v>7.6</v>
      </c>
      <c r="M10" s="4">
        <v>429</v>
      </c>
      <c r="N10" s="4">
        <v>1123</v>
      </c>
      <c r="O10" s="1">
        <v>1.3</v>
      </c>
      <c r="P10" s="1">
        <v>2.2999999999999998</v>
      </c>
      <c r="Q10" s="4">
        <v>0.64</v>
      </c>
      <c r="R10" s="4">
        <v>3.84</v>
      </c>
      <c r="S10" s="6">
        <f t="shared" si="0"/>
        <v>37.443656301155329</v>
      </c>
      <c r="T10" s="5">
        <f t="shared" si="0"/>
        <v>134.68576876898723</v>
      </c>
      <c r="U10" s="5">
        <f t="shared" si="0"/>
        <v>111.38348901909058</v>
      </c>
      <c r="V10" s="5">
        <f t="shared" si="1"/>
        <v>518.90082251737863</v>
      </c>
    </row>
    <row r="11" spans="1:22" x14ac:dyDescent="0.3">
      <c r="A11" s="1">
        <v>3555</v>
      </c>
      <c r="B11" s="3" t="s">
        <v>405</v>
      </c>
      <c r="C11" s="1" t="s">
        <v>399</v>
      </c>
      <c r="D11" s="1">
        <v>2022</v>
      </c>
      <c r="E11" s="1" t="s">
        <v>25</v>
      </c>
      <c r="F11" s="1" t="s">
        <v>26</v>
      </c>
      <c r="G11" s="1">
        <v>18</v>
      </c>
      <c r="H11" s="1">
        <v>33</v>
      </c>
      <c r="I11" s="1">
        <v>7.5</v>
      </c>
      <c r="J11" s="1">
        <v>8.6999999999999993</v>
      </c>
      <c r="K11" s="1">
        <v>7.4</v>
      </c>
      <c r="L11" s="1">
        <v>7.6</v>
      </c>
      <c r="M11" s="4">
        <v>429</v>
      </c>
      <c r="N11" s="4">
        <v>1123</v>
      </c>
      <c r="O11" s="1">
        <v>1.8</v>
      </c>
      <c r="P11" s="1">
        <v>2.7</v>
      </c>
      <c r="Q11" s="4">
        <v>0.64</v>
      </c>
      <c r="R11" s="4">
        <v>3.84</v>
      </c>
      <c r="S11" s="6">
        <f t="shared" si="0"/>
        <v>37.659694220743425</v>
      </c>
      <c r="T11" s="5">
        <f t="shared" si="0"/>
        <v>135.65413056979591</v>
      </c>
      <c r="U11" s="5">
        <f t="shared" si="0"/>
        <v>112.04865210427693</v>
      </c>
      <c r="V11" s="5">
        <f t="shared" si="1"/>
        <v>526.30723456982105</v>
      </c>
    </row>
    <row r="12" spans="1:22" x14ac:dyDescent="0.3">
      <c r="A12" s="1">
        <v>4083</v>
      </c>
      <c r="B12" s="2" t="s">
        <v>406</v>
      </c>
      <c r="C12" s="1" t="s">
        <v>465</v>
      </c>
      <c r="D12" s="1">
        <v>2022</v>
      </c>
      <c r="E12" s="1" t="s">
        <v>25</v>
      </c>
      <c r="F12" s="1" t="s">
        <v>26</v>
      </c>
      <c r="G12" s="1">
        <v>14</v>
      </c>
      <c r="H12" s="1">
        <v>26</v>
      </c>
      <c r="I12" s="1">
        <v>6.7</v>
      </c>
      <c r="J12" s="1">
        <v>8.5</v>
      </c>
      <c r="K12" s="1">
        <v>6.6</v>
      </c>
      <c r="L12" s="1">
        <v>8</v>
      </c>
      <c r="M12" s="4">
        <v>429</v>
      </c>
      <c r="N12" s="4">
        <v>1123</v>
      </c>
      <c r="O12" s="1">
        <v>1.5</v>
      </c>
      <c r="P12" s="1">
        <v>3</v>
      </c>
      <c r="Q12" s="4">
        <v>0.64</v>
      </c>
      <c r="R12" s="4">
        <v>3.84</v>
      </c>
      <c r="S12" s="6">
        <f t="shared" si="0"/>
        <v>38.1597150934181</v>
      </c>
      <c r="T12" s="5">
        <f t="shared" si="0"/>
        <v>136.6408368087298</v>
      </c>
      <c r="U12" s="5">
        <f t="shared" si="0"/>
        <v>113.41982360828962</v>
      </c>
      <c r="V12" s="5">
        <f t="shared" si="1"/>
        <v>526.30723456982105</v>
      </c>
    </row>
    <row r="13" spans="1:22" x14ac:dyDescent="0.3">
      <c r="A13" s="1">
        <v>3553</v>
      </c>
      <c r="B13" s="3" t="s">
        <v>479</v>
      </c>
      <c r="C13" s="1" t="s">
        <v>480</v>
      </c>
      <c r="D13" s="1">
        <v>2022</v>
      </c>
      <c r="E13" s="1" t="s">
        <v>25</v>
      </c>
      <c r="F13" s="1" t="s">
        <v>26</v>
      </c>
      <c r="G13" s="1">
        <v>14.5</v>
      </c>
      <c r="H13" s="1">
        <v>30</v>
      </c>
      <c r="I13" s="1">
        <v>7.3</v>
      </c>
      <c r="J13" s="1">
        <v>8.5</v>
      </c>
      <c r="K13" s="1">
        <v>7.4</v>
      </c>
      <c r="L13" s="1">
        <v>7.7</v>
      </c>
      <c r="M13" s="1">
        <v>429</v>
      </c>
      <c r="N13" s="4">
        <v>1123</v>
      </c>
      <c r="O13" s="1">
        <v>2.2999999999999998</v>
      </c>
      <c r="P13" s="1">
        <v>3.4</v>
      </c>
      <c r="Q13" s="4">
        <v>0.64</v>
      </c>
      <c r="R13" s="4">
        <v>3.84</v>
      </c>
      <c r="S13" s="6">
        <f t="shared" si="0"/>
        <v>38.487289653695164</v>
      </c>
      <c r="T13" s="5">
        <f t="shared" si="0"/>
        <v>137.94270549706619</v>
      </c>
      <c r="U13" s="5">
        <f t="shared" si="0"/>
        <v>114.69313884738749</v>
      </c>
      <c r="V13" s="5">
        <f t="shared" si="1"/>
        <v>526.30723456982105</v>
      </c>
    </row>
    <row r="14" spans="1:22" x14ac:dyDescent="0.3">
      <c r="A14" s="1">
        <v>1510</v>
      </c>
      <c r="B14" s="2" t="s">
        <v>426</v>
      </c>
      <c r="C14" s="1" t="s">
        <v>427</v>
      </c>
      <c r="D14" s="1">
        <v>2022</v>
      </c>
      <c r="E14" s="1" t="s">
        <v>25</v>
      </c>
      <c r="F14" s="1" t="s">
        <v>40</v>
      </c>
      <c r="G14" s="1">
        <v>8</v>
      </c>
      <c r="H14" s="1">
        <v>24</v>
      </c>
      <c r="I14" s="1">
        <v>7.1</v>
      </c>
      <c r="J14" s="1">
        <v>9</v>
      </c>
      <c r="K14" s="1">
        <v>7.52</v>
      </c>
      <c r="L14" s="1">
        <v>8.14</v>
      </c>
      <c r="M14" s="1">
        <v>55</v>
      </c>
      <c r="N14" s="1">
        <v>1000</v>
      </c>
      <c r="O14" s="4">
        <v>1.73</v>
      </c>
      <c r="P14" s="4">
        <v>2.6</v>
      </c>
      <c r="Q14" s="1">
        <v>0.37</v>
      </c>
      <c r="R14" s="1">
        <v>1.9</v>
      </c>
      <c r="S14" s="1">
        <v>2</v>
      </c>
      <c r="T14" s="1">
        <v>33</v>
      </c>
      <c r="U14" s="1">
        <v>7.8</v>
      </c>
      <c r="V14" s="1">
        <v>920</v>
      </c>
    </row>
    <row r="15" spans="1:22" x14ac:dyDescent="0.3">
      <c r="A15" s="1">
        <v>30023</v>
      </c>
      <c r="B15" s="3" t="s">
        <v>426</v>
      </c>
      <c r="C15" s="1" t="s">
        <v>428</v>
      </c>
      <c r="D15" s="1">
        <v>2022</v>
      </c>
      <c r="E15" s="1" t="s">
        <v>25</v>
      </c>
      <c r="F15" s="1" t="s">
        <v>42</v>
      </c>
      <c r="G15" s="1">
        <v>14</v>
      </c>
      <c r="H15" s="1">
        <v>23.5</v>
      </c>
      <c r="I15" s="1">
        <v>8.6999999999999993</v>
      </c>
      <c r="J15" s="1">
        <v>9.4</v>
      </c>
      <c r="K15" s="1">
        <v>8.1</v>
      </c>
      <c r="L15" s="1">
        <v>8.5</v>
      </c>
      <c r="M15" s="1">
        <v>158</v>
      </c>
      <c r="N15" s="1">
        <v>290</v>
      </c>
      <c r="O15" s="4">
        <v>1.73</v>
      </c>
      <c r="P15" s="4">
        <v>2.6</v>
      </c>
      <c r="Q15" s="1">
        <v>0.32</v>
      </c>
      <c r="R15" s="1">
        <v>0.52</v>
      </c>
      <c r="S15" s="1">
        <v>4</v>
      </c>
      <c r="T15" s="1">
        <v>21000</v>
      </c>
      <c r="U15" s="1">
        <v>13</v>
      </c>
      <c r="V15" s="1">
        <v>79000</v>
      </c>
    </row>
    <row r="16" spans="1:22" x14ac:dyDescent="0.3">
      <c r="A16" s="1">
        <v>4027</v>
      </c>
      <c r="B16" s="2" t="s">
        <v>429</v>
      </c>
      <c r="C16" s="1" t="s">
        <v>483</v>
      </c>
      <c r="D16" s="1">
        <v>2022</v>
      </c>
      <c r="E16" s="1" t="s">
        <v>25</v>
      </c>
      <c r="F16" s="1" t="s">
        <v>40</v>
      </c>
      <c r="G16" s="1">
        <v>21</v>
      </c>
      <c r="H16" s="1">
        <v>26</v>
      </c>
      <c r="I16" s="1">
        <v>7.5</v>
      </c>
      <c r="J16" s="1">
        <v>8.3000000000000007</v>
      </c>
      <c r="K16" s="1">
        <v>7.55</v>
      </c>
      <c r="L16" s="1">
        <v>8.27</v>
      </c>
      <c r="M16" s="1">
        <v>277</v>
      </c>
      <c r="N16" s="1">
        <v>557</v>
      </c>
      <c r="O16" s="4">
        <v>1.73</v>
      </c>
      <c r="P16" s="4">
        <v>2.6</v>
      </c>
      <c r="Q16" s="1">
        <v>0.32</v>
      </c>
      <c r="R16" s="1">
        <v>1.19</v>
      </c>
      <c r="S16" s="1">
        <v>26</v>
      </c>
      <c r="T16" s="1">
        <v>40</v>
      </c>
      <c r="U16" s="1">
        <v>130</v>
      </c>
      <c r="V16" s="1">
        <v>210</v>
      </c>
    </row>
    <row r="17" spans="1:22" x14ac:dyDescent="0.3">
      <c r="A17" s="1">
        <v>4028</v>
      </c>
      <c r="B17" s="3" t="s">
        <v>407</v>
      </c>
      <c r="C17" s="1" t="s">
        <v>400</v>
      </c>
      <c r="D17" s="1">
        <v>2022</v>
      </c>
      <c r="E17" s="1" t="s">
        <v>25</v>
      </c>
      <c r="F17" s="1" t="s">
        <v>40</v>
      </c>
      <c r="G17" s="1">
        <v>20</v>
      </c>
      <c r="H17" s="1">
        <v>27</v>
      </c>
      <c r="I17" s="1">
        <v>7.4</v>
      </c>
      <c r="J17" s="1">
        <v>8.1999999999999993</v>
      </c>
      <c r="K17" s="1">
        <v>7.79</v>
      </c>
      <c r="L17" s="1">
        <v>8.25</v>
      </c>
      <c r="M17" s="1">
        <v>275</v>
      </c>
      <c r="N17" s="1">
        <v>687</v>
      </c>
      <c r="O17" s="4">
        <v>1.73</v>
      </c>
      <c r="P17" s="4">
        <v>2.6</v>
      </c>
      <c r="Q17" s="1">
        <v>0.32</v>
      </c>
      <c r="R17" s="1">
        <v>1.23</v>
      </c>
      <c r="S17" s="1">
        <v>26</v>
      </c>
      <c r="T17" s="1">
        <v>39</v>
      </c>
      <c r="U17" s="1">
        <v>130</v>
      </c>
      <c r="V17" s="1">
        <v>280</v>
      </c>
    </row>
    <row r="18" spans="1:22" x14ac:dyDescent="0.3">
      <c r="A18" s="1">
        <v>4427</v>
      </c>
      <c r="B18" s="2" t="s">
        <v>429</v>
      </c>
      <c r="C18" s="1" t="s">
        <v>484</v>
      </c>
      <c r="D18" s="1">
        <v>2022</v>
      </c>
      <c r="E18" s="1" t="s">
        <v>25</v>
      </c>
      <c r="F18" s="1" t="s">
        <v>40</v>
      </c>
      <c r="G18" s="1">
        <v>7</v>
      </c>
      <c r="H18" s="1">
        <v>23</v>
      </c>
      <c r="I18" s="1">
        <v>7</v>
      </c>
      <c r="J18" s="1">
        <v>8.6</v>
      </c>
      <c r="K18" s="1">
        <v>7.23</v>
      </c>
      <c r="L18" s="1">
        <v>8.18</v>
      </c>
      <c r="M18" s="1">
        <v>61</v>
      </c>
      <c r="N18" s="1">
        <v>1553</v>
      </c>
      <c r="O18" s="4">
        <v>1.73</v>
      </c>
      <c r="P18" s="4">
        <v>2.6</v>
      </c>
      <c r="Q18" s="1">
        <v>0.37</v>
      </c>
      <c r="R18" s="1">
        <v>2.36</v>
      </c>
      <c r="S18" s="1">
        <v>4</v>
      </c>
      <c r="T18" s="1">
        <v>17</v>
      </c>
      <c r="U18" s="1">
        <v>6.8</v>
      </c>
      <c r="V18" s="1">
        <v>1600</v>
      </c>
    </row>
    <row r="19" spans="1:22" x14ac:dyDescent="0.3">
      <c r="A19" s="1">
        <v>2621</v>
      </c>
      <c r="B19" s="3" t="s">
        <v>429</v>
      </c>
      <c r="C19" s="1" t="s">
        <v>430</v>
      </c>
      <c r="D19" s="1">
        <v>2022</v>
      </c>
      <c r="E19" s="1" t="s">
        <v>25</v>
      </c>
      <c r="F19" s="1" t="s">
        <v>40</v>
      </c>
      <c r="G19" s="1">
        <v>8</v>
      </c>
      <c r="H19" s="1">
        <v>16</v>
      </c>
      <c r="I19" s="1">
        <v>6.9</v>
      </c>
      <c r="J19" s="1">
        <v>8.6</v>
      </c>
      <c r="K19" s="1">
        <v>7.54</v>
      </c>
      <c r="L19" s="1">
        <v>8.3000000000000007</v>
      </c>
      <c r="M19" s="1">
        <v>181</v>
      </c>
      <c r="N19" s="1">
        <v>646</v>
      </c>
      <c r="O19" s="4">
        <v>1.73</v>
      </c>
      <c r="P19" s="4">
        <v>2.6</v>
      </c>
      <c r="Q19" s="1">
        <v>1.01</v>
      </c>
      <c r="R19" s="1">
        <v>12.12</v>
      </c>
      <c r="S19" s="1">
        <v>2</v>
      </c>
      <c r="T19" s="1">
        <v>1600</v>
      </c>
      <c r="U19" s="1">
        <v>26</v>
      </c>
      <c r="V19" s="1">
        <v>1600</v>
      </c>
    </row>
    <row r="20" spans="1:22" x14ac:dyDescent="0.3">
      <c r="A20" s="1">
        <v>3876</v>
      </c>
      <c r="B20" s="2" t="s">
        <v>431</v>
      </c>
      <c r="C20" s="1" t="s">
        <v>432</v>
      </c>
      <c r="D20" s="1">
        <v>2022</v>
      </c>
      <c r="E20" s="1" t="s">
        <v>25</v>
      </c>
      <c r="F20" s="1" t="s">
        <v>40</v>
      </c>
      <c r="G20" s="1">
        <v>7</v>
      </c>
      <c r="H20" s="1">
        <v>18</v>
      </c>
      <c r="I20" s="1">
        <v>7.5</v>
      </c>
      <c r="J20" s="1">
        <v>8.9</v>
      </c>
      <c r="K20" s="1">
        <v>7.54</v>
      </c>
      <c r="L20" s="1">
        <v>8.48</v>
      </c>
      <c r="M20" s="1">
        <v>164</v>
      </c>
      <c r="N20" s="1">
        <v>750</v>
      </c>
      <c r="O20" s="4">
        <v>1.73</v>
      </c>
      <c r="P20" s="4">
        <v>2.6</v>
      </c>
      <c r="Q20" s="1">
        <v>0.89</v>
      </c>
      <c r="R20" s="1">
        <v>7.49</v>
      </c>
      <c r="S20" s="1">
        <v>2</v>
      </c>
      <c r="T20" s="1">
        <v>79</v>
      </c>
      <c r="U20" s="1">
        <v>21</v>
      </c>
      <c r="V20" s="1">
        <v>1600</v>
      </c>
    </row>
    <row r="21" spans="1:22" x14ac:dyDescent="0.3">
      <c r="A21" s="1">
        <v>2622</v>
      </c>
      <c r="B21" s="3" t="s">
        <v>429</v>
      </c>
      <c r="C21" s="1" t="s">
        <v>433</v>
      </c>
      <c r="D21" s="1">
        <v>2022</v>
      </c>
      <c r="E21" s="1" t="s">
        <v>25</v>
      </c>
      <c r="F21" s="1" t="s">
        <v>40</v>
      </c>
      <c r="G21" s="1">
        <v>20</v>
      </c>
      <c r="H21" s="1">
        <v>27</v>
      </c>
      <c r="I21" s="1">
        <v>6.9</v>
      </c>
      <c r="J21" s="1">
        <v>8.1999999999999993</v>
      </c>
      <c r="K21" s="1">
        <v>7.77</v>
      </c>
      <c r="L21" s="1">
        <v>8.32</v>
      </c>
      <c r="M21" s="1">
        <v>310</v>
      </c>
      <c r="N21" s="1">
        <v>1079</v>
      </c>
      <c r="O21" s="4">
        <v>1.73</v>
      </c>
      <c r="P21" s="4">
        <v>2.6</v>
      </c>
      <c r="Q21" s="1">
        <v>0.32</v>
      </c>
      <c r="R21" s="1">
        <v>0.85</v>
      </c>
      <c r="S21" s="1">
        <v>13</v>
      </c>
      <c r="T21" s="1">
        <v>33</v>
      </c>
      <c r="U21" s="1">
        <v>40</v>
      </c>
      <c r="V21" s="1">
        <v>170</v>
      </c>
    </row>
    <row r="22" spans="1:22" x14ac:dyDescent="0.3">
      <c r="A22" s="1">
        <v>2623</v>
      </c>
      <c r="B22" s="2" t="s">
        <v>434</v>
      </c>
      <c r="C22" s="1" t="s">
        <v>435</v>
      </c>
      <c r="D22" s="1">
        <v>2022</v>
      </c>
      <c r="E22" s="1" t="s">
        <v>25</v>
      </c>
      <c r="F22" s="1" t="s">
        <v>40</v>
      </c>
      <c r="G22" s="1">
        <v>19</v>
      </c>
      <c r="H22" s="1">
        <v>27</v>
      </c>
      <c r="I22" s="1">
        <v>7.4</v>
      </c>
      <c r="J22" s="1">
        <v>8.1</v>
      </c>
      <c r="K22" s="1">
        <v>7.64</v>
      </c>
      <c r="L22" s="1">
        <v>8.2899999999999991</v>
      </c>
      <c r="M22" s="1">
        <v>334</v>
      </c>
      <c r="N22" s="1">
        <v>1065</v>
      </c>
      <c r="O22" s="4">
        <v>1.73</v>
      </c>
      <c r="P22" s="4">
        <v>2.6</v>
      </c>
      <c r="Q22" s="1">
        <v>0.32</v>
      </c>
      <c r="R22" s="1">
        <v>1</v>
      </c>
      <c r="S22" s="1">
        <v>14</v>
      </c>
      <c r="T22" s="1">
        <v>39</v>
      </c>
      <c r="U22" s="1">
        <v>40</v>
      </c>
      <c r="V22" s="1">
        <v>220</v>
      </c>
    </row>
    <row r="23" spans="1:22" x14ac:dyDescent="0.3">
      <c r="A23" s="1">
        <v>3877</v>
      </c>
      <c r="B23" s="3" t="s">
        <v>436</v>
      </c>
      <c r="C23" s="1" t="s">
        <v>437</v>
      </c>
      <c r="D23" s="1">
        <v>2022</v>
      </c>
      <c r="E23" s="1" t="s">
        <v>25</v>
      </c>
      <c r="F23" s="1" t="s">
        <v>40</v>
      </c>
      <c r="G23" s="1">
        <v>8</v>
      </c>
      <c r="H23" s="1">
        <v>24</v>
      </c>
      <c r="I23" s="1">
        <v>6.8</v>
      </c>
      <c r="J23" s="1">
        <v>8.5</v>
      </c>
      <c r="K23" s="1">
        <v>7.38</v>
      </c>
      <c r="L23" s="1">
        <v>8.1300000000000008</v>
      </c>
      <c r="M23" s="1">
        <v>49</v>
      </c>
      <c r="N23" s="1">
        <v>1612</v>
      </c>
      <c r="O23" s="4">
        <v>1.73</v>
      </c>
      <c r="P23" s="4">
        <v>2.6</v>
      </c>
      <c r="Q23" s="1">
        <v>0.37</v>
      </c>
      <c r="R23" s="1">
        <v>2.82</v>
      </c>
      <c r="S23" s="1">
        <v>4</v>
      </c>
      <c r="T23" s="1">
        <v>39</v>
      </c>
      <c r="U23" s="1">
        <v>14</v>
      </c>
      <c r="V23" s="1">
        <v>1600</v>
      </c>
    </row>
    <row r="24" spans="1:22" x14ac:dyDescent="0.3">
      <c r="A24" s="1">
        <v>3878</v>
      </c>
      <c r="B24" s="2" t="s">
        <v>438</v>
      </c>
      <c r="C24" s="1" t="s">
        <v>437</v>
      </c>
      <c r="D24" s="1">
        <v>2022</v>
      </c>
      <c r="E24" s="1" t="s">
        <v>25</v>
      </c>
      <c r="F24" s="1" t="s">
        <v>40</v>
      </c>
      <c r="G24" s="1">
        <v>8</v>
      </c>
      <c r="H24" s="1">
        <v>23</v>
      </c>
      <c r="I24" s="1">
        <v>6.9</v>
      </c>
      <c r="J24" s="1">
        <v>8.5</v>
      </c>
      <c r="K24" s="1">
        <v>7.37</v>
      </c>
      <c r="L24" s="1">
        <v>8.17</v>
      </c>
      <c r="M24" s="1">
        <v>59</v>
      </c>
      <c r="N24" s="1">
        <v>1602</v>
      </c>
      <c r="O24" s="4">
        <v>1.73</v>
      </c>
      <c r="P24" s="4">
        <v>2.6</v>
      </c>
      <c r="Q24" s="1">
        <v>0.32</v>
      </c>
      <c r="R24" s="1">
        <v>5.57</v>
      </c>
      <c r="S24" s="1">
        <v>9</v>
      </c>
      <c r="T24" s="1">
        <v>27</v>
      </c>
      <c r="U24" s="1">
        <v>17</v>
      </c>
      <c r="V24" s="1">
        <v>1600</v>
      </c>
    </row>
    <row r="25" spans="1:22" x14ac:dyDescent="0.3">
      <c r="A25" s="1">
        <v>3860</v>
      </c>
      <c r="B25" s="3" t="s">
        <v>439</v>
      </c>
      <c r="C25" s="1" t="s">
        <v>466</v>
      </c>
      <c r="D25" s="1">
        <v>2022</v>
      </c>
      <c r="E25" s="1" t="s">
        <v>25</v>
      </c>
      <c r="F25" s="1" t="s">
        <v>40</v>
      </c>
      <c r="G25" s="1">
        <v>19</v>
      </c>
      <c r="H25" s="1">
        <v>26</v>
      </c>
      <c r="I25" s="1">
        <v>7.4</v>
      </c>
      <c r="J25" s="1">
        <v>8</v>
      </c>
      <c r="K25" s="1">
        <v>7.6</v>
      </c>
      <c r="L25" s="1">
        <v>8.16</v>
      </c>
      <c r="M25" s="1">
        <v>359</v>
      </c>
      <c r="N25" s="1">
        <v>918</v>
      </c>
      <c r="O25" s="4">
        <v>1.73</v>
      </c>
      <c r="P25" s="4">
        <v>2.6</v>
      </c>
      <c r="Q25" s="1">
        <v>0.32</v>
      </c>
      <c r="R25" s="1">
        <v>0.91</v>
      </c>
      <c r="S25" s="1">
        <v>17</v>
      </c>
      <c r="T25" s="1">
        <v>33</v>
      </c>
      <c r="U25" s="1">
        <v>46</v>
      </c>
      <c r="V25" s="1">
        <v>170</v>
      </c>
    </row>
    <row r="26" spans="1:22" x14ac:dyDescent="0.3">
      <c r="A26" s="1">
        <v>1614</v>
      </c>
      <c r="B26" s="2" t="s">
        <v>440</v>
      </c>
      <c r="C26" s="1" t="s">
        <v>441</v>
      </c>
      <c r="D26" s="1">
        <v>2022</v>
      </c>
      <c r="E26" s="1" t="s">
        <v>25</v>
      </c>
      <c r="F26" s="1" t="s">
        <v>54</v>
      </c>
      <c r="G26" s="1">
        <v>17</v>
      </c>
      <c r="H26" s="1">
        <v>32</v>
      </c>
      <c r="I26" s="1">
        <v>4.7</v>
      </c>
      <c r="J26" s="1">
        <v>12.4</v>
      </c>
      <c r="K26" s="1">
        <v>6.96</v>
      </c>
      <c r="L26" s="1">
        <v>8.25</v>
      </c>
      <c r="M26" s="1">
        <v>149</v>
      </c>
      <c r="N26" s="1">
        <v>710</v>
      </c>
      <c r="O26" s="1">
        <v>1.4</v>
      </c>
      <c r="P26" s="1">
        <v>5</v>
      </c>
      <c r="Q26" s="1">
        <v>2.88</v>
      </c>
      <c r="R26" s="1">
        <v>10.44</v>
      </c>
      <c r="S26" s="1">
        <v>3</v>
      </c>
      <c r="T26" s="1">
        <v>70</v>
      </c>
      <c r="U26" s="1">
        <v>120</v>
      </c>
      <c r="V26" s="1">
        <v>350</v>
      </c>
    </row>
    <row r="27" spans="1:22" x14ac:dyDescent="0.3">
      <c r="A27" s="1">
        <v>2107</v>
      </c>
      <c r="B27" s="3" t="s">
        <v>442</v>
      </c>
      <c r="C27" s="1" t="s">
        <v>467</v>
      </c>
      <c r="D27" s="1">
        <v>2022</v>
      </c>
      <c r="E27" s="1" t="s">
        <v>25</v>
      </c>
      <c r="F27" s="1" t="s">
        <v>54</v>
      </c>
      <c r="G27" s="1">
        <v>21</v>
      </c>
      <c r="H27" s="1">
        <v>31</v>
      </c>
      <c r="I27" s="1">
        <v>6</v>
      </c>
      <c r="J27" s="1">
        <v>7.5</v>
      </c>
      <c r="K27" s="1">
        <v>7.32</v>
      </c>
      <c r="L27" s="1">
        <v>8.2200000000000006</v>
      </c>
      <c r="M27" s="1">
        <v>215</v>
      </c>
      <c r="N27" s="1">
        <v>551</v>
      </c>
      <c r="O27" s="1">
        <v>1.1000000000000001</v>
      </c>
      <c r="P27" s="1">
        <v>1.8</v>
      </c>
      <c r="Q27" s="1">
        <v>0.33</v>
      </c>
      <c r="R27" s="1">
        <v>2.25</v>
      </c>
      <c r="S27" s="1">
        <v>2</v>
      </c>
      <c r="T27" s="1">
        <v>5.6</v>
      </c>
      <c r="U27" s="1">
        <v>27</v>
      </c>
      <c r="V27" s="1">
        <v>79</v>
      </c>
    </row>
    <row r="28" spans="1:22" x14ac:dyDescent="0.3">
      <c r="A28" s="1">
        <v>2108</v>
      </c>
      <c r="B28" s="2" t="s">
        <v>442</v>
      </c>
      <c r="C28" s="1" t="s">
        <v>443</v>
      </c>
      <c r="D28" s="1">
        <v>2022</v>
      </c>
      <c r="E28" s="1" t="s">
        <v>25</v>
      </c>
      <c r="F28" s="1" t="s">
        <v>54</v>
      </c>
      <c r="G28" s="1">
        <v>21</v>
      </c>
      <c r="H28" s="1">
        <v>31</v>
      </c>
      <c r="I28" s="1">
        <v>6.1</v>
      </c>
      <c r="J28" s="1">
        <v>7.8</v>
      </c>
      <c r="K28" s="1">
        <v>7.36</v>
      </c>
      <c r="L28" s="1">
        <v>8.32</v>
      </c>
      <c r="M28" s="1">
        <v>216</v>
      </c>
      <c r="N28" s="1">
        <v>566</v>
      </c>
      <c r="O28" s="1">
        <v>1.1000000000000001</v>
      </c>
      <c r="P28" s="1">
        <v>1.9</v>
      </c>
      <c r="Q28" s="1">
        <v>0.34</v>
      </c>
      <c r="R28" s="1">
        <v>2.11</v>
      </c>
      <c r="S28" s="1">
        <v>2</v>
      </c>
      <c r="T28" s="1">
        <v>2</v>
      </c>
      <c r="U28" s="1">
        <v>26</v>
      </c>
      <c r="V28" s="1">
        <v>63</v>
      </c>
    </row>
    <row r="29" spans="1:22" x14ac:dyDescent="0.3">
      <c r="A29" s="1">
        <v>2124</v>
      </c>
      <c r="B29" s="3" t="s">
        <v>442</v>
      </c>
      <c r="C29" s="1" t="s">
        <v>468</v>
      </c>
      <c r="D29" s="1">
        <v>2022</v>
      </c>
      <c r="E29" s="1" t="s">
        <v>25</v>
      </c>
      <c r="F29" s="1" t="s">
        <v>54</v>
      </c>
      <c r="G29" s="1">
        <v>5</v>
      </c>
      <c r="H29" s="1">
        <v>32</v>
      </c>
      <c r="I29" s="1">
        <v>5</v>
      </c>
      <c r="J29" s="1">
        <v>13.6</v>
      </c>
      <c r="K29" s="1">
        <v>7.32</v>
      </c>
      <c r="L29" s="1">
        <v>8.86</v>
      </c>
      <c r="M29" s="1">
        <v>164</v>
      </c>
      <c r="N29" s="1">
        <v>1056</v>
      </c>
      <c r="O29" s="1">
        <v>1.2</v>
      </c>
      <c r="P29" s="1">
        <v>20.399999999999999</v>
      </c>
      <c r="Q29" s="1">
        <v>5.2</v>
      </c>
      <c r="R29" s="1">
        <v>14.59</v>
      </c>
      <c r="S29" s="1">
        <v>3</v>
      </c>
      <c r="T29" s="1">
        <v>280</v>
      </c>
      <c r="U29" s="1">
        <v>120</v>
      </c>
      <c r="V29" s="1">
        <v>1600</v>
      </c>
    </row>
    <row r="30" spans="1:22" x14ac:dyDescent="0.3">
      <c r="A30" s="1">
        <v>2125</v>
      </c>
      <c r="B30" s="2" t="s">
        <v>444</v>
      </c>
      <c r="C30" s="1" t="s">
        <v>401</v>
      </c>
      <c r="D30" s="1">
        <v>2022</v>
      </c>
      <c r="E30" s="1" t="s">
        <v>25</v>
      </c>
      <c r="F30" s="1" t="s">
        <v>54</v>
      </c>
      <c r="G30" s="1">
        <v>18</v>
      </c>
      <c r="H30" s="1">
        <v>32</v>
      </c>
      <c r="I30" s="1">
        <v>5.5</v>
      </c>
      <c r="J30" s="1">
        <v>13.3</v>
      </c>
      <c r="K30" s="1">
        <v>7.08</v>
      </c>
      <c r="L30" s="1">
        <v>8.27</v>
      </c>
      <c r="M30" s="1">
        <v>154</v>
      </c>
      <c r="N30" s="1">
        <v>1094</v>
      </c>
      <c r="O30" s="1">
        <v>1.5</v>
      </c>
      <c r="P30" s="1">
        <v>16.8</v>
      </c>
      <c r="Q30" s="1">
        <v>3.02</v>
      </c>
      <c r="R30" s="1">
        <v>16.28</v>
      </c>
      <c r="S30" s="1">
        <v>6</v>
      </c>
      <c r="T30" s="1">
        <v>170</v>
      </c>
      <c r="U30" s="1">
        <v>150</v>
      </c>
      <c r="V30" s="1">
        <v>1600</v>
      </c>
    </row>
    <row r="31" spans="1:22" x14ac:dyDescent="0.3">
      <c r="A31" s="1">
        <v>3832</v>
      </c>
      <c r="B31" s="3" t="s">
        <v>442</v>
      </c>
      <c r="C31" s="1" t="s">
        <v>445</v>
      </c>
      <c r="D31" s="1">
        <v>2022</v>
      </c>
      <c r="E31" s="1" t="s">
        <v>25</v>
      </c>
      <c r="F31" s="1" t="s">
        <v>54</v>
      </c>
      <c r="G31" s="1">
        <v>22</v>
      </c>
      <c r="H31" s="1">
        <v>30</v>
      </c>
      <c r="I31" s="1">
        <v>6.6</v>
      </c>
      <c r="J31" s="1">
        <v>7.5</v>
      </c>
      <c r="K31" s="1">
        <v>7.28</v>
      </c>
      <c r="L31" s="1">
        <v>8.3800000000000008</v>
      </c>
      <c r="M31" s="1">
        <v>199</v>
      </c>
      <c r="N31" s="1">
        <v>532</v>
      </c>
      <c r="O31" s="1">
        <v>1.1000000000000001</v>
      </c>
      <c r="P31" s="1">
        <v>2.1</v>
      </c>
      <c r="Q31" s="1">
        <v>0.32</v>
      </c>
      <c r="R31" s="1">
        <v>0.53</v>
      </c>
      <c r="S31" s="1">
        <v>6</v>
      </c>
      <c r="T31" s="1">
        <v>5</v>
      </c>
      <c r="U31" s="1">
        <v>22</v>
      </c>
      <c r="V31" s="1">
        <v>84</v>
      </c>
    </row>
    <row r="32" spans="1:22" x14ac:dyDescent="0.3">
      <c r="A32" s="1">
        <v>30080</v>
      </c>
      <c r="B32" s="2" t="s">
        <v>442</v>
      </c>
      <c r="C32" s="1" t="s">
        <v>446</v>
      </c>
      <c r="D32" s="1">
        <v>2022</v>
      </c>
      <c r="E32" s="1" t="s">
        <v>25</v>
      </c>
      <c r="F32" s="1" t="s">
        <v>54</v>
      </c>
      <c r="G32" s="1">
        <v>21.4</v>
      </c>
      <c r="H32" s="1">
        <v>32.6</v>
      </c>
      <c r="I32" s="1">
        <v>7.9</v>
      </c>
      <c r="J32" s="1">
        <v>10.199999999999999</v>
      </c>
      <c r="K32" s="1">
        <v>7.83</v>
      </c>
      <c r="L32" s="1">
        <v>8.14</v>
      </c>
      <c r="M32" s="1">
        <v>285</v>
      </c>
      <c r="N32" s="1">
        <v>499</v>
      </c>
      <c r="O32" s="1">
        <v>1.6</v>
      </c>
      <c r="P32" s="1">
        <v>3.3</v>
      </c>
      <c r="Q32" s="1">
        <v>0.32</v>
      </c>
      <c r="R32" s="1">
        <v>1.9</v>
      </c>
      <c r="S32" s="1">
        <v>2000</v>
      </c>
      <c r="T32" s="1">
        <v>22000</v>
      </c>
      <c r="U32" s="1">
        <v>4500</v>
      </c>
      <c r="V32" s="1">
        <v>790000</v>
      </c>
    </row>
    <row r="33" spans="1:22" x14ac:dyDescent="0.3">
      <c r="A33" s="1">
        <v>2953</v>
      </c>
      <c r="B33" s="3" t="s">
        <v>447</v>
      </c>
      <c r="C33" s="1" t="s">
        <v>448</v>
      </c>
      <c r="D33" s="1">
        <v>2022</v>
      </c>
      <c r="E33" s="1" t="s">
        <v>25</v>
      </c>
      <c r="F33" s="1" t="s">
        <v>62</v>
      </c>
      <c r="G33" s="1">
        <v>21</v>
      </c>
      <c r="H33" s="1">
        <v>34</v>
      </c>
      <c r="I33" s="1">
        <v>3.7</v>
      </c>
      <c r="J33" s="1">
        <v>5.6</v>
      </c>
      <c r="K33" s="1">
        <v>7.98</v>
      </c>
      <c r="L33" s="1">
        <v>8.4600000000000009</v>
      </c>
      <c r="M33" s="1">
        <v>390</v>
      </c>
      <c r="N33" s="1">
        <v>808</v>
      </c>
      <c r="O33" s="1">
        <v>1.2</v>
      </c>
      <c r="P33" s="1">
        <v>2.2000000000000002</v>
      </c>
      <c r="Q33" s="1">
        <v>0.83</v>
      </c>
      <c r="R33" s="1">
        <v>2.62</v>
      </c>
      <c r="S33" s="1">
        <v>33</v>
      </c>
      <c r="T33" s="1">
        <v>84</v>
      </c>
      <c r="U33" s="1">
        <v>75</v>
      </c>
      <c r="V33" s="1">
        <v>220</v>
      </c>
    </row>
    <row r="34" spans="1:22" x14ac:dyDescent="0.3">
      <c r="A34" s="1">
        <v>2956</v>
      </c>
      <c r="B34" s="2" t="s">
        <v>447</v>
      </c>
      <c r="C34" s="1" t="s">
        <v>449</v>
      </c>
      <c r="D34" s="1">
        <v>2022</v>
      </c>
      <c r="E34" s="1" t="s">
        <v>25</v>
      </c>
      <c r="F34" s="1" t="s">
        <v>62</v>
      </c>
      <c r="G34" s="1">
        <v>22</v>
      </c>
      <c r="H34" s="1">
        <v>34</v>
      </c>
      <c r="I34" s="1">
        <v>3.7</v>
      </c>
      <c r="J34" s="1">
        <v>5.0999999999999996</v>
      </c>
      <c r="K34" s="1">
        <v>8.15</v>
      </c>
      <c r="L34" s="1">
        <v>8.56</v>
      </c>
      <c r="M34" s="1">
        <v>485</v>
      </c>
      <c r="N34" s="1">
        <v>1445</v>
      </c>
      <c r="O34" s="1">
        <v>1.2</v>
      </c>
      <c r="P34" s="1">
        <v>2.1</v>
      </c>
      <c r="Q34" s="1">
        <v>1.71</v>
      </c>
      <c r="R34" s="1">
        <v>2.97</v>
      </c>
      <c r="S34" s="1">
        <v>23</v>
      </c>
      <c r="T34" s="1">
        <v>84</v>
      </c>
      <c r="U34" s="1">
        <v>64</v>
      </c>
      <c r="V34" s="1">
        <v>210</v>
      </c>
    </row>
    <row r="35" spans="1:22" x14ac:dyDescent="0.3">
      <c r="A35" s="1">
        <v>2951</v>
      </c>
      <c r="B35" s="3" t="s">
        <v>408</v>
      </c>
      <c r="C35" s="1" t="s">
        <v>402</v>
      </c>
      <c r="D35" s="1">
        <v>2022</v>
      </c>
      <c r="E35" s="1" t="s">
        <v>25</v>
      </c>
      <c r="F35" s="1" t="s">
        <v>62</v>
      </c>
      <c r="G35" s="1">
        <v>17</v>
      </c>
      <c r="H35" s="1">
        <v>32</v>
      </c>
      <c r="I35" s="1">
        <v>3.7</v>
      </c>
      <c r="J35" s="1">
        <v>6.2</v>
      </c>
      <c r="K35" s="1">
        <v>8.1</v>
      </c>
      <c r="L35" s="1">
        <v>8.5500000000000007</v>
      </c>
      <c r="M35" s="1">
        <v>525</v>
      </c>
      <c r="N35" s="1">
        <v>819</v>
      </c>
      <c r="O35" s="1">
        <v>1.1000000000000001</v>
      </c>
      <c r="P35" s="1">
        <v>2.1</v>
      </c>
      <c r="Q35" s="1">
        <v>0.84</v>
      </c>
      <c r="R35" s="1">
        <v>3.43</v>
      </c>
      <c r="S35" s="1">
        <v>49</v>
      </c>
      <c r="T35" s="1">
        <v>110</v>
      </c>
      <c r="U35" s="1">
        <v>110</v>
      </c>
      <c r="V35" s="1">
        <v>280</v>
      </c>
    </row>
    <row r="36" spans="1:22" x14ac:dyDescent="0.3">
      <c r="A36" s="1">
        <v>2952</v>
      </c>
      <c r="B36" s="2" t="s">
        <v>409</v>
      </c>
      <c r="C36" s="1" t="s">
        <v>403</v>
      </c>
      <c r="D36" s="1">
        <v>2022</v>
      </c>
      <c r="E36" s="1" t="s">
        <v>25</v>
      </c>
      <c r="F36" s="1" t="s">
        <v>62</v>
      </c>
      <c r="G36" s="1">
        <v>18</v>
      </c>
      <c r="H36" s="1">
        <v>31</v>
      </c>
      <c r="I36" s="1">
        <v>1.6</v>
      </c>
      <c r="J36" s="1">
        <v>2.9</v>
      </c>
      <c r="K36" s="1">
        <v>7.97</v>
      </c>
      <c r="L36" s="1">
        <v>8.82</v>
      </c>
      <c r="M36" s="1">
        <v>1918</v>
      </c>
      <c r="N36" s="1">
        <v>3040</v>
      </c>
      <c r="O36" s="1">
        <v>3.3</v>
      </c>
      <c r="P36" s="1">
        <v>5.4</v>
      </c>
      <c r="Q36" s="1">
        <v>2.58</v>
      </c>
      <c r="R36" s="1">
        <v>6.56</v>
      </c>
      <c r="S36" s="1">
        <v>130</v>
      </c>
      <c r="T36" s="1">
        <v>240</v>
      </c>
      <c r="U36" s="1">
        <v>430</v>
      </c>
      <c r="V36" s="1">
        <v>540</v>
      </c>
    </row>
    <row r="37" spans="1:22" x14ac:dyDescent="0.3">
      <c r="A37" s="1">
        <v>2955</v>
      </c>
      <c r="B37" s="3" t="s">
        <v>450</v>
      </c>
      <c r="C37" s="1" t="s">
        <v>469</v>
      </c>
      <c r="D37" s="1">
        <v>2022</v>
      </c>
      <c r="E37" s="1" t="s">
        <v>25</v>
      </c>
      <c r="F37" s="1" t="s">
        <v>62</v>
      </c>
      <c r="G37" s="1">
        <v>17</v>
      </c>
      <c r="H37" s="1">
        <v>31</v>
      </c>
      <c r="I37" s="1">
        <v>5</v>
      </c>
      <c r="J37" s="1">
        <v>6.6</v>
      </c>
      <c r="K37" s="1">
        <v>7.1</v>
      </c>
      <c r="L37" s="1">
        <v>8.3800000000000008</v>
      </c>
      <c r="M37" s="1">
        <v>330</v>
      </c>
      <c r="N37" s="1">
        <v>682</v>
      </c>
      <c r="O37" s="1">
        <v>1.1000000000000001</v>
      </c>
      <c r="P37" s="1">
        <v>3.6</v>
      </c>
      <c r="Q37" s="1">
        <v>1.21</v>
      </c>
      <c r="R37" s="1">
        <v>3.42</v>
      </c>
      <c r="S37" s="1">
        <v>90</v>
      </c>
      <c r="T37" s="1">
        <v>140</v>
      </c>
      <c r="U37" s="1">
        <v>210</v>
      </c>
      <c r="V37" s="1">
        <v>280</v>
      </c>
    </row>
    <row r="38" spans="1:22" x14ac:dyDescent="0.3">
      <c r="A38" s="1">
        <v>3309</v>
      </c>
      <c r="B38" s="2" t="s">
        <v>451</v>
      </c>
      <c r="C38" s="1" t="s">
        <v>452</v>
      </c>
      <c r="D38" s="1">
        <v>2022</v>
      </c>
      <c r="E38" s="1" t="s">
        <v>25</v>
      </c>
      <c r="F38" s="1" t="s">
        <v>54</v>
      </c>
      <c r="G38" s="1">
        <v>22</v>
      </c>
      <c r="H38" s="1">
        <v>30</v>
      </c>
      <c r="I38" s="1">
        <v>6.4</v>
      </c>
      <c r="J38" s="1">
        <v>7.7</v>
      </c>
      <c r="K38" s="1">
        <v>7.26</v>
      </c>
      <c r="L38" s="1">
        <v>8.0500000000000007</v>
      </c>
      <c r="M38" s="1">
        <v>192</v>
      </c>
      <c r="N38" s="1">
        <v>2057</v>
      </c>
      <c r="O38" s="1">
        <v>2</v>
      </c>
      <c r="P38" s="1">
        <v>6</v>
      </c>
      <c r="Q38" s="1">
        <v>0.66</v>
      </c>
      <c r="R38" s="1">
        <v>2.62</v>
      </c>
      <c r="S38" s="1">
        <v>6</v>
      </c>
      <c r="T38" s="1">
        <v>920</v>
      </c>
      <c r="U38" s="1">
        <v>48</v>
      </c>
      <c r="V38" s="1">
        <v>1600</v>
      </c>
    </row>
    <row r="39" spans="1:22" x14ac:dyDescent="0.3">
      <c r="A39" s="1">
        <v>4349</v>
      </c>
      <c r="B39" s="3" t="s">
        <v>453</v>
      </c>
      <c r="C39" s="1" t="s">
        <v>368</v>
      </c>
      <c r="D39" s="1">
        <v>2022</v>
      </c>
      <c r="E39" s="1" t="s">
        <v>69</v>
      </c>
      <c r="F39" s="1" t="s">
        <v>70</v>
      </c>
      <c r="G39" s="1">
        <v>21</v>
      </c>
      <c r="H39" s="1">
        <v>30</v>
      </c>
      <c r="I39" s="1">
        <v>5.2</v>
      </c>
      <c r="J39" s="1">
        <v>7.2</v>
      </c>
      <c r="K39" s="1">
        <v>7.4</v>
      </c>
      <c r="L39" s="1">
        <v>8.4</v>
      </c>
      <c r="M39" s="1">
        <v>13800</v>
      </c>
      <c r="N39" s="1">
        <v>57300</v>
      </c>
      <c r="O39" s="1">
        <v>1.2</v>
      </c>
      <c r="P39" s="1">
        <v>2.5</v>
      </c>
      <c r="Q39" s="1">
        <v>0.32</v>
      </c>
      <c r="R39" s="1">
        <v>1.38</v>
      </c>
      <c r="S39" s="1">
        <v>3</v>
      </c>
      <c r="T39" s="1">
        <v>7</v>
      </c>
      <c r="U39" s="1">
        <v>48</v>
      </c>
      <c r="V39" s="1">
        <v>120</v>
      </c>
    </row>
    <row r="40" spans="1:22" x14ac:dyDescent="0.3">
      <c r="A40" s="1">
        <v>4352</v>
      </c>
      <c r="B40" s="3" t="s">
        <v>369</v>
      </c>
      <c r="C40" s="1" t="s">
        <v>370</v>
      </c>
      <c r="D40" s="1">
        <v>2022</v>
      </c>
      <c r="E40" s="1" t="s">
        <v>69</v>
      </c>
      <c r="F40" s="1" t="s">
        <v>70</v>
      </c>
      <c r="G40" s="1">
        <v>25</v>
      </c>
      <c r="H40" s="1">
        <v>28</v>
      </c>
      <c r="I40" s="1">
        <v>5.2</v>
      </c>
      <c r="J40" s="1">
        <v>6.6</v>
      </c>
      <c r="K40" s="1">
        <v>7.7</v>
      </c>
      <c r="L40" s="1">
        <v>8.5</v>
      </c>
      <c r="M40" s="1">
        <v>32200</v>
      </c>
      <c r="N40" s="1">
        <v>56400</v>
      </c>
      <c r="O40" s="1">
        <v>1.4</v>
      </c>
      <c r="P40" s="1">
        <v>2.8</v>
      </c>
      <c r="Q40" s="1">
        <v>0.32</v>
      </c>
      <c r="R40" s="1">
        <v>0.88</v>
      </c>
      <c r="S40" s="1">
        <v>3</v>
      </c>
      <c r="T40" s="1">
        <v>11</v>
      </c>
      <c r="U40" s="1">
        <v>39</v>
      </c>
      <c r="V40" s="1">
        <v>210</v>
      </c>
    </row>
    <row r="41" spans="1:22" x14ac:dyDescent="0.3">
      <c r="A41" s="1">
        <v>4357</v>
      </c>
      <c r="B41" s="1" t="s">
        <v>73</v>
      </c>
      <c r="C41" s="1" t="s">
        <v>74</v>
      </c>
      <c r="D41" s="1">
        <v>2022</v>
      </c>
      <c r="E41" s="1" t="s">
        <v>75</v>
      </c>
      <c r="F41" s="1" t="s">
        <v>70</v>
      </c>
      <c r="G41" s="1">
        <v>25</v>
      </c>
      <c r="H41" s="1">
        <v>29</v>
      </c>
      <c r="I41" s="1">
        <v>4.8</v>
      </c>
      <c r="J41" s="1">
        <v>7</v>
      </c>
      <c r="K41" s="1">
        <v>7.7</v>
      </c>
      <c r="L41" s="1">
        <v>8.5</v>
      </c>
      <c r="M41" s="1">
        <v>31700</v>
      </c>
      <c r="N41" s="1">
        <v>55700</v>
      </c>
      <c r="O41" s="1">
        <v>1.2</v>
      </c>
      <c r="P41" s="1">
        <v>2.9</v>
      </c>
      <c r="Q41" s="1">
        <v>0.32</v>
      </c>
      <c r="R41" s="1">
        <v>1.1299999999999999</v>
      </c>
      <c r="S41" s="1">
        <v>3</v>
      </c>
      <c r="T41" s="1">
        <v>14</v>
      </c>
      <c r="U41" s="1">
        <v>39</v>
      </c>
      <c r="V41" s="1">
        <v>150</v>
      </c>
    </row>
    <row r="42" spans="1:22" x14ac:dyDescent="0.3">
      <c r="A42" s="1">
        <v>4361</v>
      </c>
      <c r="B42" s="1" t="s">
        <v>76</v>
      </c>
      <c r="C42" s="1" t="s">
        <v>77</v>
      </c>
      <c r="D42" s="1">
        <v>2022</v>
      </c>
      <c r="E42" s="1" t="s">
        <v>75</v>
      </c>
      <c r="F42" s="1" t="s">
        <v>70</v>
      </c>
      <c r="G42" s="1">
        <v>25</v>
      </c>
      <c r="H42" s="1">
        <v>28</v>
      </c>
      <c r="I42" s="1">
        <v>4.5</v>
      </c>
      <c r="J42" s="1">
        <v>7.9</v>
      </c>
      <c r="K42" s="1">
        <v>7.8</v>
      </c>
      <c r="L42" s="1">
        <v>8.5</v>
      </c>
      <c r="M42" s="1">
        <v>4800</v>
      </c>
      <c r="N42" s="1">
        <v>51400</v>
      </c>
      <c r="O42" s="1">
        <v>2.2000000000000002</v>
      </c>
      <c r="P42" s="1">
        <v>2.8</v>
      </c>
      <c r="Q42" s="1">
        <v>0.42</v>
      </c>
      <c r="R42" s="1">
        <v>1.32</v>
      </c>
      <c r="S42" s="1">
        <v>3</v>
      </c>
      <c r="T42" s="1">
        <v>20</v>
      </c>
      <c r="U42" s="1">
        <v>48</v>
      </c>
      <c r="V42" s="1">
        <v>150</v>
      </c>
    </row>
    <row r="43" spans="1:22" x14ac:dyDescent="0.3">
      <c r="A43" s="1">
        <v>4362</v>
      </c>
      <c r="B43" s="1" t="s">
        <v>471</v>
      </c>
      <c r="C43" s="1" t="s">
        <v>470</v>
      </c>
      <c r="D43" s="1">
        <v>2022</v>
      </c>
      <c r="E43" s="1" t="s">
        <v>79</v>
      </c>
      <c r="F43" s="1" t="s">
        <v>70</v>
      </c>
      <c r="G43" s="1">
        <v>25</v>
      </c>
      <c r="H43" s="1">
        <v>27</v>
      </c>
      <c r="I43" s="1">
        <v>5.3</v>
      </c>
      <c r="J43" s="1">
        <v>8</v>
      </c>
      <c r="K43" s="1">
        <v>7.4</v>
      </c>
      <c r="L43" s="1">
        <v>8.4</v>
      </c>
      <c r="M43" s="1">
        <v>861</v>
      </c>
      <c r="N43" s="1">
        <v>50300</v>
      </c>
      <c r="O43" s="1">
        <v>2.2000000000000002</v>
      </c>
      <c r="P43" s="1">
        <v>3.9</v>
      </c>
      <c r="Q43" s="1">
        <v>0.82</v>
      </c>
      <c r="R43" s="1">
        <v>3.32</v>
      </c>
      <c r="S43" s="1">
        <v>4</v>
      </c>
      <c r="T43" s="1">
        <v>23</v>
      </c>
      <c r="U43" s="1">
        <v>75</v>
      </c>
      <c r="V43" s="1">
        <v>460</v>
      </c>
    </row>
    <row r="44" spans="1:22" x14ac:dyDescent="0.3">
      <c r="A44" s="1">
        <v>4363</v>
      </c>
      <c r="B44" s="1" t="s">
        <v>472</v>
      </c>
      <c r="C44" s="1" t="s">
        <v>312</v>
      </c>
      <c r="D44" s="1">
        <v>2022</v>
      </c>
      <c r="E44" s="1" t="s">
        <v>79</v>
      </c>
      <c r="F44" s="1" t="s">
        <v>70</v>
      </c>
      <c r="G44" s="1">
        <v>24</v>
      </c>
      <c r="H44" s="1">
        <v>26</v>
      </c>
      <c r="I44" s="1">
        <v>5.7</v>
      </c>
      <c r="J44" s="1">
        <v>7.5</v>
      </c>
      <c r="K44" s="1">
        <v>7.1</v>
      </c>
      <c r="L44" s="1">
        <v>8.1999999999999993</v>
      </c>
      <c r="M44" s="1">
        <v>481</v>
      </c>
      <c r="N44" s="1">
        <v>47000</v>
      </c>
      <c r="O44" s="1">
        <v>2.2000000000000002</v>
      </c>
      <c r="P44" s="1">
        <v>2.8</v>
      </c>
      <c r="Q44" s="1">
        <v>0.9</v>
      </c>
      <c r="R44" s="1">
        <v>4.2699999999999996</v>
      </c>
      <c r="S44" s="1">
        <v>3</v>
      </c>
      <c r="T44" s="1">
        <v>21</v>
      </c>
      <c r="U44" s="1">
        <v>64</v>
      </c>
      <c r="V44" s="1">
        <v>460</v>
      </c>
    </row>
    <row r="45" spans="1:22" x14ac:dyDescent="0.3">
      <c r="A45" s="1">
        <v>4371</v>
      </c>
      <c r="B45" s="2" t="s">
        <v>371</v>
      </c>
      <c r="C45" s="1" t="s">
        <v>313</v>
      </c>
      <c r="D45" s="1">
        <v>2022</v>
      </c>
      <c r="E45" s="1" t="s">
        <v>69</v>
      </c>
      <c r="F45" s="1" t="s">
        <v>70</v>
      </c>
      <c r="G45" s="1">
        <v>22</v>
      </c>
      <c r="H45" s="1">
        <v>30</v>
      </c>
      <c r="I45" s="1">
        <v>5.0999999999999996</v>
      </c>
      <c r="J45" s="1">
        <v>8</v>
      </c>
      <c r="K45" s="1">
        <v>7.8</v>
      </c>
      <c r="L45" s="1">
        <v>8.4</v>
      </c>
      <c r="M45" s="1">
        <v>7300</v>
      </c>
      <c r="N45" s="1">
        <v>51500</v>
      </c>
      <c r="O45" s="1">
        <v>1.3</v>
      </c>
      <c r="P45" s="1">
        <v>2</v>
      </c>
      <c r="Q45" s="1">
        <v>0.38</v>
      </c>
      <c r="R45" s="1">
        <v>1.1499999999999999</v>
      </c>
      <c r="S45" s="1">
        <v>3</v>
      </c>
      <c r="T45" s="1">
        <v>14</v>
      </c>
      <c r="U45" s="1">
        <v>49</v>
      </c>
      <c r="V45" s="1">
        <v>120</v>
      </c>
    </row>
    <row r="46" spans="1:22" x14ac:dyDescent="0.3">
      <c r="A46" s="1">
        <v>4378</v>
      </c>
      <c r="B46" s="1" t="s">
        <v>159</v>
      </c>
      <c r="C46" s="1" t="s">
        <v>238</v>
      </c>
      <c r="D46" s="1">
        <v>2022</v>
      </c>
      <c r="E46" s="1" t="s">
        <v>75</v>
      </c>
      <c r="F46" s="1" t="s">
        <v>70</v>
      </c>
      <c r="G46" s="1">
        <v>25</v>
      </c>
      <c r="H46" s="1">
        <v>27</v>
      </c>
      <c r="I46" s="1">
        <v>5.5</v>
      </c>
      <c r="J46" s="1">
        <v>6.8</v>
      </c>
      <c r="K46" s="1">
        <v>7.5</v>
      </c>
      <c r="L46" s="1">
        <v>8</v>
      </c>
      <c r="M46" s="1">
        <v>38200</v>
      </c>
      <c r="N46" s="1">
        <v>58500</v>
      </c>
      <c r="O46" s="1">
        <v>2.4</v>
      </c>
      <c r="P46" s="1">
        <v>2.8</v>
      </c>
      <c r="Q46" s="1">
        <v>0.83</v>
      </c>
      <c r="R46" s="1">
        <v>1.82</v>
      </c>
      <c r="S46" s="1">
        <v>3</v>
      </c>
      <c r="T46" s="1">
        <v>11</v>
      </c>
      <c r="U46" s="1">
        <v>75</v>
      </c>
      <c r="V46" s="1">
        <v>252</v>
      </c>
    </row>
    <row r="47" spans="1:22" x14ac:dyDescent="0.3">
      <c r="A47" s="1">
        <v>4383</v>
      </c>
      <c r="B47" s="3" t="s">
        <v>372</v>
      </c>
      <c r="C47" s="1" t="s">
        <v>373</v>
      </c>
      <c r="D47" s="1">
        <v>2022</v>
      </c>
      <c r="E47" s="1" t="s">
        <v>69</v>
      </c>
      <c r="F47" s="1" t="s">
        <v>70</v>
      </c>
      <c r="G47" s="1">
        <v>22</v>
      </c>
      <c r="H47" s="1">
        <v>24</v>
      </c>
      <c r="I47" s="1">
        <v>4.5999999999999996</v>
      </c>
      <c r="J47" s="1">
        <v>6.7</v>
      </c>
      <c r="K47" s="1">
        <v>7.3</v>
      </c>
      <c r="L47" s="1">
        <v>8</v>
      </c>
      <c r="M47" s="1">
        <v>26000</v>
      </c>
      <c r="N47" s="1">
        <v>56200</v>
      </c>
      <c r="O47" s="1">
        <v>2.2999999999999998</v>
      </c>
      <c r="P47" s="1">
        <v>2.9</v>
      </c>
      <c r="Q47" s="1">
        <v>0.74</v>
      </c>
      <c r="R47" s="1">
        <v>1.93</v>
      </c>
      <c r="S47" s="1">
        <v>3</v>
      </c>
      <c r="T47" s="1">
        <v>13</v>
      </c>
      <c r="U47" s="1">
        <v>64</v>
      </c>
      <c r="V47" s="1">
        <v>272</v>
      </c>
    </row>
    <row r="48" spans="1:22" x14ac:dyDescent="0.3">
      <c r="A48" s="1">
        <v>4385</v>
      </c>
      <c r="B48" s="1" t="s">
        <v>84</v>
      </c>
      <c r="C48" s="1"/>
      <c r="D48" s="1">
        <v>2022</v>
      </c>
      <c r="E48" s="1" t="s">
        <v>75</v>
      </c>
      <c r="F48" s="1" t="s">
        <v>70</v>
      </c>
      <c r="G48" s="1">
        <v>22</v>
      </c>
      <c r="H48" s="1">
        <v>26</v>
      </c>
      <c r="I48" s="1">
        <v>5.0999999999999996</v>
      </c>
      <c r="J48" s="1">
        <v>6.6</v>
      </c>
      <c r="K48" s="1">
        <v>7.5</v>
      </c>
      <c r="L48" s="1">
        <v>8.3000000000000007</v>
      </c>
      <c r="M48" s="1">
        <v>33120</v>
      </c>
      <c r="N48" s="1">
        <v>57680</v>
      </c>
      <c r="O48" s="1">
        <v>2.2999999999999998</v>
      </c>
      <c r="P48" s="1">
        <v>2.8</v>
      </c>
      <c r="Q48" s="1">
        <v>0.72</v>
      </c>
      <c r="R48" s="1">
        <v>1.81</v>
      </c>
      <c r="S48" s="1">
        <v>3</v>
      </c>
      <c r="T48" s="1">
        <v>18</v>
      </c>
      <c r="U48" s="1">
        <v>64</v>
      </c>
      <c r="V48" s="1">
        <v>354</v>
      </c>
    </row>
    <row r="49" spans="1:22" x14ac:dyDescent="0.3">
      <c r="A49" s="1">
        <v>4386</v>
      </c>
      <c r="B49" s="1" t="s">
        <v>85</v>
      </c>
      <c r="C49" s="1" t="s">
        <v>86</v>
      </c>
      <c r="D49" s="1">
        <v>2022</v>
      </c>
      <c r="E49" s="1" t="s">
        <v>75</v>
      </c>
      <c r="F49" s="1" t="s">
        <v>70</v>
      </c>
      <c r="G49" s="1">
        <v>22</v>
      </c>
      <c r="H49" s="1">
        <v>25</v>
      </c>
      <c r="I49" s="1">
        <v>5.4</v>
      </c>
      <c r="J49" s="1">
        <v>6.7</v>
      </c>
      <c r="K49" s="1">
        <v>7.6</v>
      </c>
      <c r="L49" s="1">
        <v>8.1</v>
      </c>
      <c r="M49" s="1">
        <v>32900</v>
      </c>
      <c r="N49" s="1">
        <v>56900</v>
      </c>
      <c r="O49" s="1">
        <v>2.6</v>
      </c>
      <c r="P49" s="1">
        <v>2.9</v>
      </c>
      <c r="Q49" s="1">
        <v>0.72</v>
      </c>
      <c r="R49" s="1">
        <v>1.66</v>
      </c>
      <c r="S49" s="1">
        <v>3</v>
      </c>
      <c r="T49" s="1">
        <v>10</v>
      </c>
      <c r="U49" s="1">
        <v>75</v>
      </c>
      <c r="V49" s="1">
        <v>210</v>
      </c>
    </row>
    <row r="50" spans="1:22" x14ac:dyDescent="0.3">
      <c r="A50" s="1">
        <v>4387</v>
      </c>
      <c r="B50" s="2" t="s">
        <v>367</v>
      </c>
      <c r="C50" s="1" t="s">
        <v>366</v>
      </c>
      <c r="D50" s="1">
        <v>2022</v>
      </c>
      <c r="E50" s="1" t="s">
        <v>69</v>
      </c>
      <c r="F50" s="1" t="s">
        <v>70</v>
      </c>
      <c r="G50" s="1">
        <v>19</v>
      </c>
      <c r="H50" s="1">
        <v>21</v>
      </c>
      <c r="I50" s="1">
        <v>5.6</v>
      </c>
      <c r="J50" s="1">
        <v>6.7</v>
      </c>
      <c r="K50" s="1">
        <v>7.2</v>
      </c>
      <c r="L50" s="1">
        <v>8</v>
      </c>
      <c r="M50" s="1">
        <v>31200</v>
      </c>
      <c r="N50" s="1">
        <v>52900</v>
      </c>
      <c r="O50" s="1">
        <v>2.4</v>
      </c>
      <c r="P50" s="1">
        <v>2.9</v>
      </c>
      <c r="Q50" s="1">
        <v>0.42</v>
      </c>
      <c r="R50" s="1">
        <v>1.53</v>
      </c>
      <c r="S50" s="1">
        <v>3</v>
      </c>
      <c r="T50" s="1">
        <v>11</v>
      </c>
      <c r="U50" s="1">
        <v>64</v>
      </c>
      <c r="V50" s="1">
        <v>243</v>
      </c>
    </row>
    <row r="51" spans="1:22" x14ac:dyDescent="0.3">
      <c r="A51" s="1">
        <v>4013</v>
      </c>
      <c r="B51" s="1" t="s">
        <v>88</v>
      </c>
      <c r="C51" s="1"/>
      <c r="D51" s="1">
        <v>2022</v>
      </c>
      <c r="E51" s="1" t="s">
        <v>75</v>
      </c>
      <c r="F51" s="1" t="s">
        <v>89</v>
      </c>
      <c r="G51" s="1">
        <v>28</v>
      </c>
      <c r="H51" s="1">
        <v>30</v>
      </c>
      <c r="I51" s="1">
        <v>5.9</v>
      </c>
      <c r="J51" s="1">
        <v>7.5</v>
      </c>
      <c r="K51" s="1">
        <v>7.2</v>
      </c>
      <c r="L51" s="1">
        <v>8.3000000000000007</v>
      </c>
      <c r="M51" s="1">
        <v>30500</v>
      </c>
      <c r="N51" s="1">
        <v>52560</v>
      </c>
      <c r="O51" s="1">
        <v>1</v>
      </c>
      <c r="P51" s="1">
        <v>2.2999999999999998</v>
      </c>
      <c r="Q51" s="1">
        <v>0.32</v>
      </c>
      <c r="R51" s="1">
        <v>2.27</v>
      </c>
      <c r="S51" s="1">
        <v>13</v>
      </c>
      <c r="T51" s="1">
        <v>350</v>
      </c>
      <c r="U51" s="1">
        <v>23</v>
      </c>
      <c r="V51" s="1">
        <v>540</v>
      </c>
    </row>
    <row r="52" spans="1:22" x14ac:dyDescent="0.3">
      <c r="A52" s="1">
        <v>4014</v>
      </c>
      <c r="B52" s="1" t="s">
        <v>90</v>
      </c>
      <c r="C52" s="1"/>
      <c r="D52" s="1">
        <v>2022</v>
      </c>
      <c r="E52" s="1" t="s">
        <v>75</v>
      </c>
      <c r="F52" s="1" t="s">
        <v>89</v>
      </c>
      <c r="G52" s="1">
        <v>28</v>
      </c>
      <c r="H52" s="1">
        <v>32</v>
      </c>
      <c r="I52" s="1">
        <v>5.9</v>
      </c>
      <c r="J52" s="1">
        <v>7.6</v>
      </c>
      <c r="K52" s="1">
        <v>7.7</v>
      </c>
      <c r="L52" s="1">
        <v>8.5</v>
      </c>
      <c r="M52" s="1">
        <v>8856</v>
      </c>
      <c r="N52" s="1">
        <v>55850</v>
      </c>
      <c r="O52" s="1">
        <v>1</v>
      </c>
      <c r="P52" s="1">
        <v>2</v>
      </c>
      <c r="Q52" s="1">
        <v>0.32</v>
      </c>
      <c r="R52" s="1">
        <v>0.38</v>
      </c>
      <c r="S52" s="1">
        <v>79</v>
      </c>
      <c r="T52" s="1">
        <v>350</v>
      </c>
      <c r="U52" s="1">
        <v>110</v>
      </c>
      <c r="V52" s="1">
        <v>540</v>
      </c>
    </row>
    <row r="53" spans="1:22" x14ac:dyDescent="0.3">
      <c r="A53" s="1">
        <v>4015</v>
      </c>
      <c r="B53" s="1" t="s">
        <v>91</v>
      </c>
      <c r="C53" s="1"/>
      <c r="D53" s="1">
        <v>2022</v>
      </c>
      <c r="E53" s="1" t="s">
        <v>75</v>
      </c>
      <c r="F53" s="1" t="s">
        <v>89</v>
      </c>
      <c r="G53" s="1">
        <v>27</v>
      </c>
      <c r="H53" s="1">
        <v>30</v>
      </c>
      <c r="I53" s="1">
        <v>5.7</v>
      </c>
      <c r="J53" s="1">
        <v>7.5</v>
      </c>
      <c r="K53" s="1">
        <v>7.4</v>
      </c>
      <c r="L53" s="1">
        <v>8.4</v>
      </c>
      <c r="M53" s="1">
        <v>29950</v>
      </c>
      <c r="N53" s="1">
        <v>53320</v>
      </c>
      <c r="O53" s="1">
        <v>1</v>
      </c>
      <c r="P53" s="1">
        <v>1.9</v>
      </c>
      <c r="Q53" s="1">
        <v>0.32</v>
      </c>
      <c r="R53" s="1">
        <v>0.42</v>
      </c>
      <c r="S53" s="1">
        <v>49</v>
      </c>
      <c r="T53" s="1">
        <v>350</v>
      </c>
      <c r="U53" s="1">
        <v>79</v>
      </c>
      <c r="V53" s="1">
        <v>540</v>
      </c>
    </row>
    <row r="54" spans="1:22" x14ac:dyDescent="0.3">
      <c r="A54" s="1">
        <v>4016</v>
      </c>
      <c r="B54" s="1" t="s">
        <v>92</v>
      </c>
      <c r="C54" s="1"/>
      <c r="D54" s="1">
        <v>2022</v>
      </c>
      <c r="E54" s="1" t="s">
        <v>75</v>
      </c>
      <c r="F54" s="1" t="s">
        <v>89</v>
      </c>
      <c r="G54" s="1">
        <v>28</v>
      </c>
      <c r="H54" s="1">
        <v>30</v>
      </c>
      <c r="I54" s="1">
        <v>5.5</v>
      </c>
      <c r="J54" s="1">
        <v>7.3</v>
      </c>
      <c r="K54" s="1">
        <v>7.3</v>
      </c>
      <c r="L54" s="1">
        <v>8.6999999999999993</v>
      </c>
      <c r="M54" s="1">
        <v>15820</v>
      </c>
      <c r="N54" s="1">
        <v>56510</v>
      </c>
      <c r="O54" s="1">
        <v>1</v>
      </c>
      <c r="P54" s="1">
        <v>2.1</v>
      </c>
      <c r="Q54" s="1">
        <v>0.32</v>
      </c>
      <c r="R54" s="1">
        <v>0.32</v>
      </c>
      <c r="S54" s="1">
        <v>13</v>
      </c>
      <c r="T54" s="1">
        <v>220</v>
      </c>
      <c r="U54" s="1">
        <v>23</v>
      </c>
      <c r="V54" s="1">
        <v>280</v>
      </c>
    </row>
    <row r="55" spans="1:22" x14ac:dyDescent="0.3">
      <c r="A55" s="1">
        <v>3051</v>
      </c>
      <c r="B55" s="2" t="s">
        <v>239</v>
      </c>
      <c r="C55" s="1" t="s">
        <v>240</v>
      </c>
      <c r="D55" s="1">
        <v>2023</v>
      </c>
      <c r="E55" s="1" t="s">
        <v>94</v>
      </c>
      <c r="F55" s="1" t="s">
        <v>70</v>
      </c>
      <c r="G55" s="1">
        <v>24</v>
      </c>
      <c r="H55" s="1">
        <v>25</v>
      </c>
      <c r="I55" s="1">
        <v>1.6</v>
      </c>
      <c r="J55" s="1">
        <v>3.1</v>
      </c>
      <c r="K55" s="1">
        <v>6.7</v>
      </c>
      <c r="L55" s="1">
        <v>8</v>
      </c>
      <c r="M55" s="1">
        <v>810</v>
      </c>
      <c r="N55" s="1">
        <v>1100</v>
      </c>
      <c r="O55" s="1">
        <v>9</v>
      </c>
      <c r="P55" s="1">
        <v>23</v>
      </c>
      <c r="Q55" s="1">
        <v>2.7</v>
      </c>
      <c r="R55" s="1">
        <v>7.9</v>
      </c>
      <c r="S55" s="1">
        <v>120</v>
      </c>
      <c r="T55" s="1">
        <v>260</v>
      </c>
      <c r="U55" s="1">
        <v>1100</v>
      </c>
      <c r="V55" s="1">
        <v>4900</v>
      </c>
    </row>
    <row r="56" spans="1:22" x14ac:dyDescent="0.3">
      <c r="A56" s="1">
        <v>4356</v>
      </c>
      <c r="B56" s="3" t="s">
        <v>241</v>
      </c>
      <c r="C56" s="1" t="s">
        <v>243</v>
      </c>
      <c r="D56" s="1">
        <v>2023</v>
      </c>
      <c r="E56" s="1" t="s">
        <v>94</v>
      </c>
      <c r="F56" s="1" t="s">
        <v>70</v>
      </c>
      <c r="G56" s="1">
        <v>25</v>
      </c>
      <c r="H56" s="1">
        <v>30</v>
      </c>
      <c r="I56" s="1">
        <v>4.5</v>
      </c>
      <c r="J56" s="1">
        <v>6.5</v>
      </c>
      <c r="K56" s="1">
        <v>7.3</v>
      </c>
      <c r="L56" s="1">
        <v>8.3000000000000007</v>
      </c>
      <c r="M56" s="1">
        <v>275</v>
      </c>
      <c r="N56" s="1">
        <v>75</v>
      </c>
      <c r="O56" s="1">
        <v>1.1000000000000001</v>
      </c>
      <c r="P56" s="1">
        <v>2.8</v>
      </c>
      <c r="Q56" s="1">
        <v>0.3</v>
      </c>
      <c r="R56" s="1">
        <v>0.9</v>
      </c>
      <c r="S56" s="1">
        <v>3</v>
      </c>
      <c r="T56" s="1">
        <v>21</v>
      </c>
      <c r="U56" s="1">
        <v>75</v>
      </c>
      <c r="V56" s="1">
        <v>460</v>
      </c>
    </row>
    <row r="57" spans="1:22" x14ac:dyDescent="0.3">
      <c r="A57" s="1">
        <v>4370</v>
      </c>
      <c r="B57" s="2" t="s">
        <v>244</v>
      </c>
      <c r="C57" s="1" t="s">
        <v>245</v>
      </c>
      <c r="D57" s="1">
        <v>2023</v>
      </c>
      <c r="E57" s="1" t="s">
        <v>94</v>
      </c>
      <c r="F57" s="1" t="s">
        <v>70</v>
      </c>
      <c r="G57" s="1">
        <v>22</v>
      </c>
      <c r="H57" s="1">
        <v>28</v>
      </c>
      <c r="I57" s="1">
        <v>4.2</v>
      </c>
      <c r="J57" s="1">
        <v>8.4</v>
      </c>
      <c r="K57" s="1">
        <v>7.5</v>
      </c>
      <c r="L57" s="1">
        <v>8</v>
      </c>
      <c r="M57" s="1">
        <v>132</v>
      </c>
      <c r="N57" s="1">
        <v>120</v>
      </c>
      <c r="O57" s="1">
        <v>1.2</v>
      </c>
      <c r="P57" s="1">
        <v>2.8</v>
      </c>
      <c r="Q57" s="1">
        <v>0.3</v>
      </c>
      <c r="R57" s="1">
        <v>2.9</v>
      </c>
      <c r="S57" s="1">
        <v>7</v>
      </c>
      <c r="T57" s="1">
        <v>21</v>
      </c>
      <c r="U57" s="1">
        <v>120</v>
      </c>
      <c r="V57" s="1">
        <v>460</v>
      </c>
    </row>
    <row r="58" spans="1:22" x14ac:dyDescent="0.3">
      <c r="A58" s="1">
        <v>2354</v>
      </c>
      <c r="B58" s="3" t="s">
        <v>246</v>
      </c>
      <c r="C58" s="1" t="s">
        <v>247</v>
      </c>
      <c r="D58" s="1">
        <v>2023</v>
      </c>
      <c r="E58" s="1" t="s">
        <v>94</v>
      </c>
      <c r="F58" s="1" t="s">
        <v>70</v>
      </c>
      <c r="G58" s="1">
        <v>25</v>
      </c>
      <c r="H58" s="1">
        <v>27</v>
      </c>
      <c r="I58" s="1">
        <v>3.4</v>
      </c>
      <c r="J58" s="1">
        <v>7</v>
      </c>
      <c r="K58" s="1">
        <v>6.3</v>
      </c>
      <c r="L58" s="1">
        <v>8.4</v>
      </c>
      <c r="M58" s="1">
        <v>241</v>
      </c>
      <c r="N58" s="1">
        <v>64</v>
      </c>
      <c r="O58" s="1">
        <v>2.4</v>
      </c>
      <c r="P58" s="1">
        <v>5.2</v>
      </c>
      <c r="Q58" s="1">
        <v>0.3</v>
      </c>
      <c r="R58" s="1">
        <v>2.9</v>
      </c>
      <c r="S58" s="1">
        <v>7</v>
      </c>
      <c r="T58" s="1">
        <v>28</v>
      </c>
      <c r="U58" s="1">
        <v>64</v>
      </c>
      <c r="V58" s="1">
        <v>1100</v>
      </c>
    </row>
    <row r="59" spans="1:22" x14ac:dyDescent="0.3">
      <c r="A59" s="1">
        <v>4374</v>
      </c>
      <c r="B59" s="2" t="s">
        <v>248</v>
      </c>
      <c r="C59" s="1" t="s">
        <v>249</v>
      </c>
      <c r="D59" s="1">
        <v>2023</v>
      </c>
      <c r="E59" s="1" t="s">
        <v>94</v>
      </c>
      <c r="F59" s="1" t="s">
        <v>70</v>
      </c>
      <c r="G59" s="1">
        <v>22</v>
      </c>
      <c r="H59" s="1">
        <v>30</v>
      </c>
      <c r="I59" s="1">
        <v>3.4</v>
      </c>
      <c r="J59" s="1">
        <v>8.1</v>
      </c>
      <c r="K59" s="1">
        <v>7.2</v>
      </c>
      <c r="L59" s="1">
        <v>8.4</v>
      </c>
      <c r="M59" s="1">
        <v>130</v>
      </c>
      <c r="N59" s="1">
        <v>120</v>
      </c>
      <c r="O59" s="1">
        <v>1.6</v>
      </c>
      <c r="P59" s="1">
        <v>4.2</v>
      </c>
      <c r="Q59" s="1">
        <v>0.3</v>
      </c>
      <c r="R59" s="1">
        <v>8.6</v>
      </c>
      <c r="S59" s="1">
        <v>4</v>
      </c>
      <c r="T59" s="1">
        <v>11</v>
      </c>
      <c r="U59" s="1">
        <v>120</v>
      </c>
      <c r="V59" s="1">
        <v>240</v>
      </c>
    </row>
    <row r="60" spans="1:22" x14ac:dyDescent="0.3">
      <c r="A60" s="1">
        <v>2057</v>
      </c>
      <c r="B60" s="3" t="s">
        <v>250</v>
      </c>
      <c r="C60" s="1" t="s">
        <v>251</v>
      </c>
      <c r="D60" s="1">
        <v>2023</v>
      </c>
      <c r="E60" s="1" t="s">
        <v>94</v>
      </c>
      <c r="F60" s="1" t="s">
        <v>100</v>
      </c>
      <c r="G60" s="1">
        <v>24</v>
      </c>
      <c r="H60" s="1">
        <v>27</v>
      </c>
      <c r="I60" s="1">
        <v>0.3</v>
      </c>
      <c r="J60" s="1">
        <v>1.5</v>
      </c>
      <c r="K60" s="1">
        <v>6.9</v>
      </c>
      <c r="L60" s="1">
        <v>7.7</v>
      </c>
      <c r="M60" s="1">
        <v>429</v>
      </c>
      <c r="N60" s="4">
        <v>1123</v>
      </c>
      <c r="O60" s="1">
        <v>32</v>
      </c>
      <c r="P60" s="1">
        <v>46</v>
      </c>
      <c r="Q60" s="1"/>
      <c r="R60" s="1"/>
      <c r="S60" s="1">
        <v>110000</v>
      </c>
      <c r="T60" s="1">
        <v>340000</v>
      </c>
      <c r="U60" s="1">
        <v>433</v>
      </c>
      <c r="V60" s="1">
        <v>3300</v>
      </c>
    </row>
    <row r="61" spans="1:22" x14ac:dyDescent="0.3">
      <c r="A61" s="1">
        <v>1479</v>
      </c>
      <c r="B61" s="2" t="s">
        <v>252</v>
      </c>
      <c r="C61" s="1" t="s">
        <v>253</v>
      </c>
      <c r="D61" s="1">
        <v>2023</v>
      </c>
      <c r="E61" s="1" t="s">
        <v>94</v>
      </c>
      <c r="F61" s="1" t="s">
        <v>100</v>
      </c>
      <c r="G61" s="1">
        <v>36</v>
      </c>
      <c r="H61" s="1">
        <v>30</v>
      </c>
      <c r="I61" s="1"/>
      <c r="J61" s="1"/>
      <c r="K61" s="1">
        <v>7.1</v>
      </c>
      <c r="L61" s="1">
        <v>7.8</v>
      </c>
      <c r="M61" s="1">
        <v>429</v>
      </c>
      <c r="N61" s="4">
        <v>1123</v>
      </c>
      <c r="O61" s="1">
        <v>6.9</v>
      </c>
      <c r="P61" s="4">
        <v>2.6</v>
      </c>
      <c r="Q61" s="1">
        <v>0.3</v>
      </c>
      <c r="R61" s="1">
        <v>0.6</v>
      </c>
      <c r="S61" s="1">
        <v>86</v>
      </c>
      <c r="T61" s="1">
        <v>45</v>
      </c>
      <c r="U61" s="1">
        <v>245</v>
      </c>
      <c r="V61" s="1">
        <v>265</v>
      </c>
    </row>
    <row r="62" spans="1:22" x14ac:dyDescent="0.3">
      <c r="A62" s="1">
        <v>2265</v>
      </c>
      <c r="B62" s="3" t="s">
        <v>254</v>
      </c>
      <c r="C62" s="1" t="s">
        <v>255</v>
      </c>
      <c r="D62" s="1">
        <v>2023</v>
      </c>
      <c r="E62" s="1" t="s">
        <v>94</v>
      </c>
      <c r="F62" s="1" t="s">
        <v>89</v>
      </c>
      <c r="G62" s="1">
        <v>27</v>
      </c>
      <c r="H62" s="1">
        <v>31</v>
      </c>
      <c r="I62" s="1">
        <v>5</v>
      </c>
      <c r="J62" s="1">
        <v>7.4</v>
      </c>
      <c r="K62" s="1">
        <v>5.7</v>
      </c>
      <c r="L62" s="1">
        <v>7.3</v>
      </c>
      <c r="M62" s="1">
        <v>33</v>
      </c>
      <c r="N62" s="1">
        <v>1400</v>
      </c>
      <c r="O62" s="1">
        <v>1</v>
      </c>
      <c r="P62" s="1">
        <v>1.7</v>
      </c>
      <c r="Q62" s="1">
        <v>0.3</v>
      </c>
      <c r="R62" s="1">
        <v>0.8</v>
      </c>
      <c r="S62" s="1">
        <v>1100</v>
      </c>
      <c r="T62" s="1">
        <v>2200</v>
      </c>
      <c r="U62" s="1">
        <v>1400</v>
      </c>
      <c r="V62" s="1">
        <v>9200</v>
      </c>
    </row>
    <row r="63" spans="1:22" x14ac:dyDescent="0.3">
      <c r="A63" s="1">
        <v>2266</v>
      </c>
      <c r="B63" s="2" t="s">
        <v>256</v>
      </c>
      <c r="C63" s="1" t="s">
        <v>257</v>
      </c>
      <c r="D63" s="1">
        <v>2023</v>
      </c>
      <c r="E63" s="1" t="s">
        <v>94</v>
      </c>
      <c r="F63" s="1" t="s">
        <v>89</v>
      </c>
      <c r="G63" s="1">
        <v>26</v>
      </c>
      <c r="H63" s="1">
        <v>31</v>
      </c>
      <c r="I63" s="1">
        <v>4.4000000000000004</v>
      </c>
      <c r="J63" s="1">
        <v>8.1999999999999993</v>
      </c>
      <c r="K63" s="1">
        <v>5.9</v>
      </c>
      <c r="L63" s="1">
        <v>7.4</v>
      </c>
      <c r="M63" s="1">
        <v>32</v>
      </c>
      <c r="N63" s="1">
        <v>400</v>
      </c>
      <c r="O63" s="1">
        <v>1</v>
      </c>
      <c r="P63" s="1">
        <v>2</v>
      </c>
      <c r="Q63" s="1">
        <v>0.3</v>
      </c>
      <c r="R63" s="1">
        <v>1.6</v>
      </c>
      <c r="S63" s="1">
        <v>200</v>
      </c>
      <c r="T63" s="1">
        <v>2700</v>
      </c>
      <c r="U63" s="1">
        <v>400</v>
      </c>
      <c r="V63" s="1">
        <v>7900</v>
      </c>
    </row>
    <row r="64" spans="1:22" x14ac:dyDescent="0.3">
      <c r="A64" s="1">
        <v>2268</v>
      </c>
      <c r="B64" s="3" t="s">
        <v>258</v>
      </c>
      <c r="C64" s="1" t="s">
        <v>259</v>
      </c>
      <c r="D64" s="1">
        <v>2023</v>
      </c>
      <c r="E64" s="1" t="s">
        <v>94</v>
      </c>
      <c r="F64" s="1" t="s">
        <v>89</v>
      </c>
      <c r="G64" s="1">
        <v>26</v>
      </c>
      <c r="H64" s="1">
        <v>30</v>
      </c>
      <c r="I64" s="1">
        <v>4.2</v>
      </c>
      <c r="J64" s="1">
        <v>7.5</v>
      </c>
      <c r="K64" s="1">
        <v>6.7</v>
      </c>
      <c r="L64" s="1">
        <v>7.8</v>
      </c>
      <c r="M64" s="1">
        <v>335</v>
      </c>
      <c r="N64" s="1">
        <v>920</v>
      </c>
      <c r="O64" s="1">
        <v>1.1000000000000001</v>
      </c>
      <c r="P64" s="1">
        <v>1.9</v>
      </c>
      <c r="Q64" s="1">
        <v>0.3</v>
      </c>
      <c r="R64" s="1">
        <v>0.6</v>
      </c>
      <c r="S64" s="1">
        <v>140</v>
      </c>
      <c r="T64" s="1">
        <v>2700</v>
      </c>
      <c r="U64" s="1">
        <v>920</v>
      </c>
      <c r="V64" s="1">
        <v>3500</v>
      </c>
    </row>
    <row r="65" spans="1:22" x14ac:dyDescent="0.3">
      <c r="A65" s="1">
        <v>2073</v>
      </c>
      <c r="B65" s="2" t="s">
        <v>260</v>
      </c>
      <c r="C65" s="1" t="s">
        <v>261</v>
      </c>
      <c r="D65" s="1">
        <v>2023</v>
      </c>
      <c r="E65" s="1" t="s">
        <v>94</v>
      </c>
      <c r="F65" s="1" t="s">
        <v>106</v>
      </c>
      <c r="G65" s="1">
        <v>27</v>
      </c>
      <c r="H65" s="1">
        <v>33</v>
      </c>
      <c r="I65" s="1">
        <v>4.8</v>
      </c>
      <c r="J65" s="1">
        <v>7.6</v>
      </c>
      <c r="K65" s="1">
        <v>7.4</v>
      </c>
      <c r="L65" s="1">
        <v>8.3000000000000007</v>
      </c>
      <c r="M65" s="1">
        <v>212</v>
      </c>
      <c r="N65" s="1">
        <v>4</v>
      </c>
      <c r="O65" s="1">
        <v>1</v>
      </c>
      <c r="P65" s="1">
        <v>1.3</v>
      </c>
      <c r="Q65" s="1">
        <v>0.3</v>
      </c>
      <c r="R65" s="1">
        <v>1.3</v>
      </c>
      <c r="S65" s="1">
        <v>2</v>
      </c>
      <c r="T65" s="1">
        <v>2</v>
      </c>
      <c r="U65" s="1">
        <v>4</v>
      </c>
      <c r="V65" s="1">
        <v>21</v>
      </c>
    </row>
    <row r="66" spans="1:22" x14ac:dyDescent="0.3">
      <c r="A66" s="1">
        <v>5521</v>
      </c>
      <c r="B66" s="1" t="s">
        <v>366</v>
      </c>
      <c r="C66" s="1" t="s">
        <v>107</v>
      </c>
      <c r="D66" s="1">
        <v>2023</v>
      </c>
      <c r="E66" s="1" t="s">
        <v>108</v>
      </c>
      <c r="F66" s="1" t="s">
        <v>109</v>
      </c>
      <c r="G66" s="1">
        <v>23</v>
      </c>
      <c r="H66" s="1">
        <v>34</v>
      </c>
      <c r="I66" s="1">
        <v>5.0999999999999996</v>
      </c>
      <c r="J66" s="1">
        <v>9.6</v>
      </c>
      <c r="K66" s="1">
        <v>6.6</v>
      </c>
      <c r="L66" s="1">
        <v>8</v>
      </c>
      <c r="M66" s="1">
        <v>236</v>
      </c>
      <c r="N66" s="1">
        <v>302</v>
      </c>
      <c r="O66" s="1">
        <v>3.5</v>
      </c>
      <c r="P66" s="1">
        <v>5.8</v>
      </c>
      <c r="Q66" s="1">
        <v>1.3</v>
      </c>
      <c r="R66" s="1">
        <v>2.1</v>
      </c>
      <c r="S66" s="1">
        <v>2</v>
      </c>
      <c r="T66" s="1">
        <v>1500</v>
      </c>
      <c r="U66" s="1">
        <v>360</v>
      </c>
      <c r="V66" s="1">
        <v>3500</v>
      </c>
    </row>
    <row r="67" spans="1:22" x14ac:dyDescent="0.3">
      <c r="A67" s="1">
        <v>5522</v>
      </c>
      <c r="B67" s="1" t="s">
        <v>366</v>
      </c>
      <c r="C67" s="1" t="s">
        <v>110</v>
      </c>
      <c r="D67" s="1">
        <v>2023</v>
      </c>
      <c r="E67" s="1" t="s">
        <v>108</v>
      </c>
      <c r="F67" s="1" t="s">
        <v>109</v>
      </c>
      <c r="G67" s="1">
        <v>23</v>
      </c>
      <c r="H67" s="1">
        <v>32</v>
      </c>
      <c r="I67" s="1">
        <v>5.6</v>
      </c>
      <c r="J67" s="1">
        <v>10.4</v>
      </c>
      <c r="K67" s="1">
        <v>7</v>
      </c>
      <c r="L67" s="1">
        <v>9.1999999999999993</v>
      </c>
      <c r="M67" s="1">
        <v>238</v>
      </c>
      <c r="N67" s="1">
        <v>316</v>
      </c>
      <c r="O67" s="1">
        <v>5</v>
      </c>
      <c r="P67" s="1">
        <v>6</v>
      </c>
      <c r="Q67" s="1">
        <v>1.2</v>
      </c>
      <c r="R67" s="1">
        <v>2.4</v>
      </c>
      <c r="S67" s="1">
        <v>300</v>
      </c>
      <c r="T67" s="1">
        <v>730</v>
      </c>
      <c r="U67" s="1">
        <v>2</v>
      </c>
      <c r="V67" s="1">
        <v>1600</v>
      </c>
    </row>
    <row r="68" spans="1:22" x14ac:dyDescent="0.3">
      <c r="A68" s="1">
        <v>3821</v>
      </c>
      <c r="B68" s="1" t="s">
        <v>378</v>
      </c>
      <c r="C68" s="1" t="s">
        <v>379</v>
      </c>
      <c r="D68" s="1">
        <v>2023</v>
      </c>
      <c r="E68" s="1" t="s">
        <v>108</v>
      </c>
      <c r="F68" s="1" t="s">
        <v>109</v>
      </c>
      <c r="G68" s="1">
        <v>21</v>
      </c>
      <c r="H68" s="1">
        <v>34</v>
      </c>
      <c r="I68" s="1">
        <v>5.2</v>
      </c>
      <c r="J68" s="1">
        <v>5.6</v>
      </c>
      <c r="K68" s="1">
        <v>7</v>
      </c>
      <c r="L68" s="1">
        <v>7.6</v>
      </c>
      <c r="M68" s="1">
        <v>118</v>
      </c>
      <c r="N68" s="1">
        <v>136</v>
      </c>
      <c r="O68" s="1">
        <v>1.9</v>
      </c>
      <c r="P68" s="1">
        <v>2.5</v>
      </c>
      <c r="Q68" s="1">
        <v>0.8</v>
      </c>
      <c r="R68" s="1">
        <v>2</v>
      </c>
      <c r="S68" s="1">
        <v>300</v>
      </c>
      <c r="T68" s="1">
        <v>360</v>
      </c>
      <c r="U68" s="1">
        <v>720</v>
      </c>
      <c r="V68" s="1">
        <v>1400</v>
      </c>
    </row>
    <row r="69" spans="1:22" x14ac:dyDescent="0.3">
      <c r="A69" s="1">
        <v>5619</v>
      </c>
      <c r="B69" s="1" t="s">
        <v>380</v>
      </c>
      <c r="C69" s="1" t="s">
        <v>381</v>
      </c>
      <c r="D69" s="1">
        <v>2023</v>
      </c>
      <c r="E69" s="1" t="s">
        <v>108</v>
      </c>
      <c r="F69" s="1" t="s">
        <v>109</v>
      </c>
      <c r="G69" s="1">
        <v>23</v>
      </c>
      <c r="H69" s="1">
        <v>27</v>
      </c>
      <c r="I69" s="1">
        <v>5.0999999999999996</v>
      </c>
      <c r="J69" s="1">
        <v>5.5</v>
      </c>
      <c r="K69" s="1">
        <v>6.8</v>
      </c>
      <c r="L69" s="1">
        <v>7.4</v>
      </c>
      <c r="M69" s="1">
        <v>132</v>
      </c>
      <c r="N69" s="1">
        <v>142</v>
      </c>
      <c r="O69" s="1">
        <v>2.2999999999999998</v>
      </c>
      <c r="P69" s="1">
        <v>5.5</v>
      </c>
      <c r="Q69" s="1">
        <v>0.7</v>
      </c>
      <c r="R69" s="1">
        <v>1.1000000000000001</v>
      </c>
      <c r="S69" s="1">
        <v>300</v>
      </c>
      <c r="T69" s="1">
        <v>620</v>
      </c>
      <c r="U69" s="1">
        <v>730</v>
      </c>
      <c r="V69" s="1">
        <v>1500</v>
      </c>
    </row>
    <row r="70" spans="1:22" x14ac:dyDescent="0.3">
      <c r="A70" s="1">
        <v>1263</v>
      </c>
      <c r="B70" s="1" t="s">
        <v>382</v>
      </c>
      <c r="C70" s="1" t="s">
        <v>262</v>
      </c>
      <c r="D70" s="1">
        <v>2023</v>
      </c>
      <c r="E70" s="1" t="s">
        <v>108</v>
      </c>
      <c r="F70" s="1" t="s">
        <v>109</v>
      </c>
      <c r="G70" s="1">
        <v>16</v>
      </c>
      <c r="H70" s="1">
        <v>34</v>
      </c>
      <c r="I70" s="1">
        <v>4.3</v>
      </c>
      <c r="J70" s="1">
        <v>5.5</v>
      </c>
      <c r="K70" s="1">
        <v>7</v>
      </c>
      <c r="L70" s="1">
        <v>7.5</v>
      </c>
      <c r="M70" s="1">
        <v>236</v>
      </c>
      <c r="N70" s="1">
        <v>280</v>
      </c>
      <c r="O70" s="1">
        <v>2.2999999999999998</v>
      </c>
      <c r="P70" s="1">
        <v>2.8</v>
      </c>
      <c r="Q70" s="1">
        <v>1</v>
      </c>
      <c r="R70" s="1">
        <v>2.2000000000000002</v>
      </c>
      <c r="S70" s="1">
        <v>300</v>
      </c>
      <c r="T70" s="1">
        <v>730</v>
      </c>
      <c r="U70" s="1">
        <v>720</v>
      </c>
      <c r="V70" s="1">
        <v>2000</v>
      </c>
    </row>
    <row r="71" spans="1:22" x14ac:dyDescent="0.3">
      <c r="A71" s="1">
        <v>5623</v>
      </c>
      <c r="B71" s="1" t="s">
        <v>263</v>
      </c>
      <c r="C71" s="1" t="s">
        <v>264</v>
      </c>
      <c r="D71" s="1">
        <v>2023</v>
      </c>
      <c r="E71" s="1" t="s">
        <v>108</v>
      </c>
      <c r="F71" s="1" t="s">
        <v>109</v>
      </c>
      <c r="G71" s="1">
        <v>17</v>
      </c>
      <c r="H71" s="1">
        <v>24</v>
      </c>
      <c r="I71" s="1">
        <v>5.0999999999999996</v>
      </c>
      <c r="J71" s="1">
        <v>5.8</v>
      </c>
      <c r="K71" s="1">
        <v>6.8</v>
      </c>
      <c r="L71" s="1">
        <v>7.2</v>
      </c>
      <c r="M71" s="1">
        <v>129</v>
      </c>
      <c r="N71" s="1">
        <v>192</v>
      </c>
      <c r="O71" s="1">
        <v>2.2000000000000002</v>
      </c>
      <c r="P71" s="1">
        <v>2.6</v>
      </c>
      <c r="Q71" s="1">
        <v>0.8</v>
      </c>
      <c r="R71" s="1">
        <v>1</v>
      </c>
      <c r="S71" s="1">
        <v>300</v>
      </c>
      <c r="T71" s="1">
        <v>360</v>
      </c>
      <c r="U71" s="1">
        <v>620</v>
      </c>
      <c r="V71" s="1">
        <v>1500</v>
      </c>
    </row>
    <row r="72" spans="1:22" x14ac:dyDescent="0.3">
      <c r="A72" s="1">
        <v>3787</v>
      </c>
      <c r="B72" s="1" t="s">
        <v>383</v>
      </c>
      <c r="C72" s="1" t="s">
        <v>384</v>
      </c>
      <c r="D72" s="1">
        <v>2023</v>
      </c>
      <c r="E72" s="1" t="s">
        <v>108</v>
      </c>
      <c r="F72" s="1" t="s">
        <v>109</v>
      </c>
      <c r="G72" s="1">
        <v>22</v>
      </c>
      <c r="H72" s="1">
        <v>24</v>
      </c>
      <c r="I72" s="1">
        <v>4.5</v>
      </c>
      <c r="J72" s="1">
        <v>7.8</v>
      </c>
      <c r="K72" s="1">
        <v>6.9</v>
      </c>
      <c r="L72" s="1">
        <v>7.3</v>
      </c>
      <c r="M72" s="1">
        <v>96</v>
      </c>
      <c r="N72" s="1">
        <v>148</v>
      </c>
      <c r="O72" s="1">
        <v>2</v>
      </c>
      <c r="P72" s="1">
        <v>2.6</v>
      </c>
      <c r="Q72" s="1">
        <v>0.6</v>
      </c>
      <c r="R72" s="1">
        <v>2</v>
      </c>
      <c r="S72" s="1">
        <v>300</v>
      </c>
      <c r="T72" s="1">
        <v>620</v>
      </c>
      <c r="U72" s="1">
        <v>600</v>
      </c>
      <c r="V72" s="1">
        <v>1300</v>
      </c>
    </row>
    <row r="73" spans="1:22" x14ac:dyDescent="0.3">
      <c r="A73" s="1">
        <v>5617</v>
      </c>
      <c r="B73" s="1" t="s">
        <v>265</v>
      </c>
      <c r="C73" s="1" t="s">
        <v>266</v>
      </c>
      <c r="D73" s="1">
        <v>2023</v>
      </c>
      <c r="E73" s="1" t="s">
        <v>108</v>
      </c>
      <c r="F73" s="1" t="s">
        <v>109</v>
      </c>
      <c r="G73" s="1">
        <v>21</v>
      </c>
      <c r="H73" s="1">
        <v>34</v>
      </c>
      <c r="I73" s="1">
        <v>5</v>
      </c>
      <c r="J73" s="1">
        <v>8</v>
      </c>
      <c r="K73" s="1">
        <v>6.8</v>
      </c>
      <c r="L73" s="1">
        <v>7.7</v>
      </c>
      <c r="M73" s="1">
        <v>92</v>
      </c>
      <c r="N73" s="1">
        <v>106</v>
      </c>
      <c r="O73" s="1">
        <v>2</v>
      </c>
      <c r="P73" s="1">
        <v>2.6</v>
      </c>
      <c r="Q73" s="1">
        <v>0.6</v>
      </c>
      <c r="R73" s="1">
        <v>0.9</v>
      </c>
      <c r="S73" s="1">
        <v>300</v>
      </c>
      <c r="T73" s="1">
        <v>360</v>
      </c>
      <c r="U73" s="1">
        <v>620</v>
      </c>
      <c r="V73" s="1">
        <v>1500</v>
      </c>
    </row>
    <row r="74" spans="1:22" x14ac:dyDescent="0.3">
      <c r="A74" s="1">
        <v>4337</v>
      </c>
      <c r="B74" s="1" t="s">
        <v>385</v>
      </c>
      <c r="C74" s="1" t="s">
        <v>386</v>
      </c>
      <c r="D74" s="1">
        <v>2023</v>
      </c>
      <c r="E74" s="1" t="s">
        <v>108</v>
      </c>
      <c r="F74" s="1" t="s">
        <v>109</v>
      </c>
      <c r="G74" s="1">
        <v>19</v>
      </c>
      <c r="H74" s="1">
        <v>32</v>
      </c>
      <c r="I74" s="1">
        <v>5.0999999999999996</v>
      </c>
      <c r="J74" s="1">
        <v>7.4</v>
      </c>
      <c r="K74" s="1">
        <v>6.6</v>
      </c>
      <c r="L74" s="1">
        <v>7.5</v>
      </c>
      <c r="M74" s="1">
        <v>78</v>
      </c>
      <c r="N74" s="1">
        <v>106</v>
      </c>
      <c r="O74" s="1">
        <v>1.9</v>
      </c>
      <c r="P74" s="1">
        <v>2.5</v>
      </c>
      <c r="Q74" s="1">
        <v>0.6</v>
      </c>
      <c r="R74" s="1">
        <v>1.4</v>
      </c>
      <c r="S74" s="1">
        <v>720</v>
      </c>
      <c r="T74" s="1">
        <v>360</v>
      </c>
      <c r="U74" s="1">
        <v>600</v>
      </c>
      <c r="V74" s="1">
        <v>910</v>
      </c>
    </row>
    <row r="75" spans="1:22" x14ac:dyDescent="0.3">
      <c r="A75" s="1">
        <v>3812</v>
      </c>
      <c r="B75" s="1" t="s">
        <v>267</v>
      </c>
      <c r="C75" s="1" t="s">
        <v>268</v>
      </c>
      <c r="D75" s="1">
        <v>2023</v>
      </c>
      <c r="E75" s="1" t="s">
        <v>108</v>
      </c>
      <c r="F75" s="1" t="s">
        <v>109</v>
      </c>
      <c r="G75" s="1">
        <v>20</v>
      </c>
      <c r="H75" s="1">
        <v>37</v>
      </c>
      <c r="I75" s="1">
        <v>0.3</v>
      </c>
      <c r="J75" s="1">
        <v>6.2</v>
      </c>
      <c r="K75" s="1">
        <v>7.1</v>
      </c>
      <c r="L75" s="1">
        <v>7.7</v>
      </c>
      <c r="M75" s="1">
        <v>1007</v>
      </c>
      <c r="N75" s="1">
        <v>1062</v>
      </c>
      <c r="O75" s="1">
        <v>21</v>
      </c>
      <c r="P75" s="1">
        <v>26.2</v>
      </c>
      <c r="Q75" s="1">
        <v>2</v>
      </c>
      <c r="R75" s="1">
        <v>3.6</v>
      </c>
      <c r="S75" s="1">
        <v>360</v>
      </c>
      <c r="T75" s="1">
        <v>2100</v>
      </c>
      <c r="U75" s="1">
        <v>1500</v>
      </c>
      <c r="V75" s="1">
        <v>3600</v>
      </c>
    </row>
    <row r="76" spans="1:22" x14ac:dyDescent="0.3">
      <c r="A76" s="1">
        <v>5621</v>
      </c>
      <c r="B76" s="1" t="s">
        <v>269</v>
      </c>
      <c r="C76" s="1" t="s">
        <v>270</v>
      </c>
      <c r="D76" s="1">
        <v>2023</v>
      </c>
      <c r="E76" s="1" t="s">
        <v>108</v>
      </c>
      <c r="F76" s="1" t="s">
        <v>109</v>
      </c>
      <c r="G76" s="1">
        <v>22</v>
      </c>
      <c r="H76" s="1">
        <v>35</v>
      </c>
      <c r="I76" s="1">
        <v>5</v>
      </c>
      <c r="J76" s="1">
        <v>5.6</v>
      </c>
      <c r="K76" s="1">
        <v>7</v>
      </c>
      <c r="L76" s="1">
        <v>7.5</v>
      </c>
      <c r="M76" s="1">
        <v>122</v>
      </c>
      <c r="N76" s="1">
        <v>162</v>
      </c>
      <c r="O76" s="1">
        <v>2.1</v>
      </c>
      <c r="P76" s="1">
        <v>2.6</v>
      </c>
      <c r="Q76" s="1">
        <v>0.6</v>
      </c>
      <c r="R76" s="1">
        <v>1.1000000000000001</v>
      </c>
      <c r="S76" s="1">
        <v>620</v>
      </c>
      <c r="T76" s="1">
        <v>720</v>
      </c>
      <c r="U76" s="1">
        <v>720</v>
      </c>
      <c r="V76" s="1">
        <v>2000</v>
      </c>
    </row>
    <row r="77" spans="1:22" x14ac:dyDescent="0.3">
      <c r="A77" s="1">
        <v>3783</v>
      </c>
      <c r="B77" s="1" t="s">
        <v>271</v>
      </c>
      <c r="C77" s="1" t="s">
        <v>272</v>
      </c>
      <c r="D77" s="1">
        <v>2023</v>
      </c>
      <c r="E77" s="1" t="s">
        <v>108</v>
      </c>
      <c r="F77" s="1" t="s">
        <v>109</v>
      </c>
      <c r="G77" s="1">
        <v>23</v>
      </c>
      <c r="H77" s="1">
        <v>27</v>
      </c>
      <c r="I77" s="1">
        <v>5.0999999999999996</v>
      </c>
      <c r="J77" s="1">
        <v>9.6999999999999993</v>
      </c>
      <c r="K77" s="1">
        <v>6.6</v>
      </c>
      <c r="L77" s="1">
        <v>7.2</v>
      </c>
      <c r="M77" s="1">
        <v>110</v>
      </c>
      <c r="N77" s="1">
        <v>168</v>
      </c>
      <c r="O77" s="1">
        <v>1.9</v>
      </c>
      <c r="P77" s="1">
        <v>2.7</v>
      </c>
      <c r="Q77" s="1">
        <v>0.5</v>
      </c>
      <c r="R77" s="1">
        <v>1.8</v>
      </c>
      <c r="S77" s="1">
        <v>360</v>
      </c>
      <c r="T77" s="1">
        <v>620</v>
      </c>
      <c r="U77" s="1">
        <v>730</v>
      </c>
      <c r="V77" s="1">
        <v>1500</v>
      </c>
    </row>
    <row r="78" spans="1:22" x14ac:dyDescent="0.3">
      <c r="A78" s="1">
        <v>5622</v>
      </c>
      <c r="B78" s="1" t="s">
        <v>273</v>
      </c>
      <c r="C78" s="1" t="s">
        <v>274</v>
      </c>
      <c r="D78" s="1">
        <v>2023</v>
      </c>
      <c r="E78" s="1" t="s">
        <v>108</v>
      </c>
      <c r="F78" s="1" t="s">
        <v>109</v>
      </c>
      <c r="G78" s="1">
        <v>22</v>
      </c>
      <c r="H78" s="1">
        <v>26</v>
      </c>
      <c r="I78" s="1">
        <v>5</v>
      </c>
      <c r="J78" s="1">
        <v>9.5</v>
      </c>
      <c r="K78" s="1">
        <v>6.7</v>
      </c>
      <c r="L78" s="1">
        <v>8</v>
      </c>
      <c r="M78" s="1">
        <v>120</v>
      </c>
      <c r="N78" s="1">
        <v>162</v>
      </c>
      <c r="O78" s="1">
        <v>1.8</v>
      </c>
      <c r="P78" s="1">
        <v>2.7</v>
      </c>
      <c r="Q78" s="1">
        <v>0.6</v>
      </c>
      <c r="R78" s="1">
        <v>1.2</v>
      </c>
      <c r="S78" s="1">
        <v>300</v>
      </c>
      <c r="T78" s="1">
        <v>360</v>
      </c>
      <c r="U78" s="1">
        <v>610</v>
      </c>
      <c r="V78" s="1">
        <v>1400</v>
      </c>
    </row>
    <row r="79" spans="1:22" x14ac:dyDescent="0.3">
      <c r="A79" s="1">
        <v>3800</v>
      </c>
      <c r="B79" s="1" t="s">
        <v>387</v>
      </c>
      <c r="C79" s="1" t="s">
        <v>388</v>
      </c>
      <c r="D79" s="1">
        <v>2023</v>
      </c>
      <c r="E79" s="1" t="s">
        <v>108</v>
      </c>
      <c r="F79" s="1" t="s">
        <v>109</v>
      </c>
      <c r="G79" s="1">
        <v>22</v>
      </c>
      <c r="H79" s="1">
        <v>24</v>
      </c>
      <c r="I79" s="1">
        <v>4</v>
      </c>
      <c r="J79" s="1">
        <v>5.5</v>
      </c>
      <c r="K79" s="1">
        <v>6.5</v>
      </c>
      <c r="L79" s="1">
        <v>7.3</v>
      </c>
      <c r="M79" s="1">
        <v>132</v>
      </c>
      <c r="N79" s="1">
        <v>172</v>
      </c>
      <c r="O79" s="1">
        <v>2.1</v>
      </c>
      <c r="P79" s="1">
        <v>2.7</v>
      </c>
      <c r="Q79" s="1">
        <v>0.8</v>
      </c>
      <c r="R79" s="1">
        <v>1.7</v>
      </c>
      <c r="S79" s="1">
        <v>300</v>
      </c>
      <c r="T79" s="1">
        <v>600</v>
      </c>
      <c r="U79" s="1">
        <v>910</v>
      </c>
      <c r="V79" s="1">
        <v>1400</v>
      </c>
    </row>
    <row r="80" spans="1:22" x14ac:dyDescent="0.3">
      <c r="A80" s="1">
        <v>2205</v>
      </c>
      <c r="B80" s="1" t="s">
        <v>275</v>
      </c>
      <c r="C80" s="1" t="s">
        <v>262</v>
      </c>
      <c r="D80" s="1">
        <v>2023</v>
      </c>
      <c r="E80" s="1" t="s">
        <v>108</v>
      </c>
      <c r="F80" s="1" t="s">
        <v>109</v>
      </c>
      <c r="G80" s="1">
        <v>22</v>
      </c>
      <c r="H80" s="1">
        <v>23</v>
      </c>
      <c r="I80" s="1">
        <v>5</v>
      </c>
      <c r="J80" s="1">
        <v>7.1</v>
      </c>
      <c r="K80" s="1">
        <v>6.8</v>
      </c>
      <c r="L80" s="1">
        <v>7.3</v>
      </c>
      <c r="M80" s="1">
        <v>120</v>
      </c>
      <c r="N80" s="1">
        <v>154</v>
      </c>
      <c r="O80" s="1">
        <v>2</v>
      </c>
      <c r="P80" s="1">
        <v>2.4</v>
      </c>
      <c r="Q80" s="1">
        <v>0.6</v>
      </c>
      <c r="R80" s="1">
        <v>1.8</v>
      </c>
      <c r="S80" s="1">
        <v>730</v>
      </c>
      <c r="T80" s="1">
        <v>620</v>
      </c>
      <c r="U80" s="1">
        <v>720</v>
      </c>
      <c r="V80" s="1">
        <v>1500</v>
      </c>
    </row>
    <row r="81" spans="1:22" x14ac:dyDescent="0.3">
      <c r="A81" s="1">
        <v>5620</v>
      </c>
      <c r="B81" s="1" t="s">
        <v>276</v>
      </c>
      <c r="C81" s="1" t="s">
        <v>277</v>
      </c>
      <c r="D81" s="1">
        <v>2023</v>
      </c>
      <c r="E81" s="1" t="s">
        <v>108</v>
      </c>
      <c r="F81" s="1" t="s">
        <v>109</v>
      </c>
      <c r="G81" s="1">
        <v>21</v>
      </c>
      <c r="H81" s="1">
        <v>39</v>
      </c>
      <c r="I81" s="1">
        <v>5.0999999999999996</v>
      </c>
      <c r="J81" s="1">
        <v>6.1</v>
      </c>
      <c r="K81" s="1">
        <v>6.8</v>
      </c>
      <c r="L81" s="1">
        <v>7.4</v>
      </c>
      <c r="M81" s="1">
        <v>92</v>
      </c>
      <c r="N81" s="1">
        <v>112</v>
      </c>
      <c r="O81" s="1">
        <v>2</v>
      </c>
      <c r="P81" s="1">
        <v>2.4</v>
      </c>
      <c r="Q81" s="1">
        <v>0.7</v>
      </c>
      <c r="R81" s="1">
        <v>1.2</v>
      </c>
      <c r="S81" s="1">
        <v>300</v>
      </c>
      <c r="T81" s="1">
        <v>910</v>
      </c>
      <c r="U81" s="1">
        <v>1100</v>
      </c>
      <c r="V81" s="1">
        <v>2100</v>
      </c>
    </row>
    <row r="82" spans="1:22" x14ac:dyDescent="0.3">
      <c r="A82" s="1">
        <v>3808</v>
      </c>
      <c r="B82" s="1" t="s">
        <v>391</v>
      </c>
      <c r="C82" s="1" t="s">
        <v>392</v>
      </c>
      <c r="D82" s="1">
        <v>2023</v>
      </c>
      <c r="E82" s="1" t="s">
        <v>108</v>
      </c>
      <c r="F82" s="1" t="s">
        <v>109</v>
      </c>
      <c r="G82" s="1">
        <v>21</v>
      </c>
      <c r="H82" s="1">
        <v>34</v>
      </c>
      <c r="I82" s="1">
        <v>5</v>
      </c>
      <c r="J82" s="1">
        <v>7.2</v>
      </c>
      <c r="K82" s="1">
        <v>7</v>
      </c>
      <c r="L82" s="1">
        <v>7.5</v>
      </c>
      <c r="M82" s="1">
        <v>102</v>
      </c>
      <c r="N82" s="1">
        <v>138</v>
      </c>
      <c r="O82" s="1">
        <v>2</v>
      </c>
      <c r="P82" s="1">
        <v>2.7</v>
      </c>
      <c r="Q82" s="1">
        <v>0.7</v>
      </c>
      <c r="R82" s="1">
        <v>2.6</v>
      </c>
      <c r="S82" s="1">
        <v>300</v>
      </c>
      <c r="T82" s="1">
        <v>610</v>
      </c>
      <c r="U82" s="1">
        <v>600</v>
      </c>
      <c r="V82" s="1">
        <v>1400</v>
      </c>
    </row>
    <row r="83" spans="1:22" x14ac:dyDescent="0.3">
      <c r="A83" s="1">
        <v>3798</v>
      </c>
      <c r="B83" s="1" t="s">
        <v>389</v>
      </c>
      <c r="C83" s="1" t="s">
        <v>390</v>
      </c>
      <c r="D83" s="1">
        <v>2023</v>
      </c>
      <c r="E83" s="1" t="s">
        <v>108</v>
      </c>
      <c r="F83" s="1" t="s">
        <v>109</v>
      </c>
      <c r="G83" s="1">
        <v>16</v>
      </c>
      <c r="H83" s="1">
        <v>34</v>
      </c>
      <c r="I83" s="1">
        <v>4.9000000000000004</v>
      </c>
      <c r="J83" s="1">
        <v>5.9</v>
      </c>
      <c r="K83" s="1">
        <v>6.8</v>
      </c>
      <c r="L83" s="1">
        <v>7.3</v>
      </c>
      <c r="M83" s="1">
        <v>90</v>
      </c>
      <c r="N83" s="1">
        <v>120</v>
      </c>
      <c r="O83" s="1">
        <v>2</v>
      </c>
      <c r="P83" s="1">
        <v>2.5</v>
      </c>
      <c r="Q83" s="1">
        <v>0.6</v>
      </c>
      <c r="R83" s="1">
        <v>1.7</v>
      </c>
      <c r="S83" s="1">
        <v>300</v>
      </c>
      <c r="T83" s="1">
        <v>620</v>
      </c>
      <c r="U83" s="1">
        <v>910</v>
      </c>
      <c r="V83" s="1">
        <v>1400</v>
      </c>
    </row>
    <row r="84" spans="1:22" x14ac:dyDescent="0.3">
      <c r="A84" s="1">
        <v>2215</v>
      </c>
      <c r="B84" s="1" t="s">
        <v>278</v>
      </c>
      <c r="C84" s="1" t="s">
        <v>262</v>
      </c>
      <c r="D84" s="1">
        <v>2023</v>
      </c>
      <c r="E84" s="1" t="s">
        <v>108</v>
      </c>
      <c r="F84" s="1" t="s">
        <v>109</v>
      </c>
      <c r="G84" s="1">
        <v>18</v>
      </c>
      <c r="H84" s="1">
        <v>36</v>
      </c>
      <c r="I84" s="1">
        <v>5.3</v>
      </c>
      <c r="J84" s="1">
        <v>9.3000000000000007</v>
      </c>
      <c r="K84" s="1">
        <v>6.8</v>
      </c>
      <c r="L84" s="1">
        <v>8</v>
      </c>
      <c r="M84" s="1">
        <v>84</v>
      </c>
      <c r="N84" s="1">
        <v>128</v>
      </c>
      <c r="O84" s="1">
        <v>1.8</v>
      </c>
      <c r="P84" s="1">
        <v>2.5</v>
      </c>
      <c r="Q84" s="1">
        <v>0.4</v>
      </c>
      <c r="R84" s="1">
        <v>1.6</v>
      </c>
      <c r="S84" s="1">
        <v>300</v>
      </c>
      <c r="T84" s="1">
        <v>360</v>
      </c>
      <c r="U84" s="1">
        <v>620</v>
      </c>
      <c r="V84" s="1">
        <v>1100</v>
      </c>
    </row>
    <row r="85" spans="1:22" x14ac:dyDescent="0.3">
      <c r="A85" s="1">
        <v>3814</v>
      </c>
      <c r="B85" s="1" t="s">
        <v>279</v>
      </c>
      <c r="C85" s="1" t="s">
        <v>280</v>
      </c>
      <c r="D85" s="1">
        <v>2023</v>
      </c>
      <c r="E85" s="1" t="s">
        <v>108</v>
      </c>
      <c r="F85" s="1" t="s">
        <v>109</v>
      </c>
      <c r="G85" s="1">
        <v>18</v>
      </c>
      <c r="H85" s="1">
        <v>30</v>
      </c>
      <c r="I85" s="1">
        <v>0.3</v>
      </c>
      <c r="J85" s="1">
        <v>4.5999999999999996</v>
      </c>
      <c r="K85" s="1">
        <v>7</v>
      </c>
      <c r="L85" s="1">
        <v>7.5</v>
      </c>
      <c r="M85" s="1">
        <v>370</v>
      </c>
      <c r="N85" s="1">
        <v>446</v>
      </c>
      <c r="O85" s="1">
        <v>10.6</v>
      </c>
      <c r="P85" s="1">
        <v>19.2</v>
      </c>
      <c r="Q85" s="1">
        <v>0.7</v>
      </c>
      <c r="R85" s="1">
        <v>2</v>
      </c>
      <c r="S85" s="1">
        <v>1500</v>
      </c>
      <c r="T85" s="1">
        <v>2800</v>
      </c>
      <c r="U85" s="1">
        <v>2700</v>
      </c>
      <c r="V85" s="1">
        <v>3600</v>
      </c>
    </row>
    <row r="86" spans="1:22" x14ac:dyDescent="0.3">
      <c r="A86" s="1">
        <v>3804</v>
      </c>
      <c r="B86" s="1" t="s">
        <v>393</v>
      </c>
      <c r="C86" s="1" t="s">
        <v>394</v>
      </c>
      <c r="D86" s="1">
        <v>2023</v>
      </c>
      <c r="E86" s="1" t="s">
        <v>108</v>
      </c>
      <c r="F86" s="1" t="s">
        <v>109</v>
      </c>
      <c r="G86" s="1">
        <v>20</v>
      </c>
      <c r="H86" s="1">
        <v>24</v>
      </c>
      <c r="I86" s="1">
        <v>4.5</v>
      </c>
      <c r="J86" s="1">
        <v>6.9</v>
      </c>
      <c r="K86" s="1">
        <v>6.8</v>
      </c>
      <c r="L86" s="1">
        <v>7.3</v>
      </c>
      <c r="M86" s="1">
        <v>112</v>
      </c>
      <c r="N86" s="1">
        <v>136</v>
      </c>
      <c r="O86" s="1">
        <v>2</v>
      </c>
      <c r="P86" s="1">
        <v>2.8</v>
      </c>
      <c r="Q86" s="1">
        <v>0.7</v>
      </c>
      <c r="R86" s="1">
        <v>1.2</v>
      </c>
      <c r="S86" s="1">
        <v>300</v>
      </c>
      <c r="T86" s="1">
        <v>620</v>
      </c>
      <c r="U86" s="1">
        <v>910</v>
      </c>
      <c r="V86" s="1">
        <v>1200</v>
      </c>
    </row>
    <row r="87" spans="1:22" x14ac:dyDescent="0.3">
      <c r="A87" s="1">
        <v>3819</v>
      </c>
      <c r="B87" s="1" t="s">
        <v>282</v>
      </c>
      <c r="C87" s="1" t="s">
        <v>283</v>
      </c>
      <c r="D87" s="1">
        <v>2023</v>
      </c>
      <c r="E87" s="1" t="s">
        <v>108</v>
      </c>
      <c r="F87" s="1" t="s">
        <v>109</v>
      </c>
      <c r="G87" s="1">
        <v>19</v>
      </c>
      <c r="H87" s="1">
        <v>30</v>
      </c>
      <c r="I87" s="1">
        <v>0.3</v>
      </c>
      <c r="J87" s="1">
        <v>1.1000000000000001</v>
      </c>
      <c r="K87" s="1">
        <v>7</v>
      </c>
      <c r="L87" s="1">
        <v>7.5</v>
      </c>
      <c r="M87" s="1">
        <v>370</v>
      </c>
      <c r="N87" s="1">
        <v>440</v>
      </c>
      <c r="O87" s="1">
        <v>14.6</v>
      </c>
      <c r="P87" s="1">
        <v>25.8</v>
      </c>
      <c r="Q87" s="1">
        <v>0.7</v>
      </c>
      <c r="R87" s="1">
        <v>5.6</v>
      </c>
      <c r="S87" s="1">
        <v>2800</v>
      </c>
      <c r="T87" s="1">
        <v>3600</v>
      </c>
      <c r="U87" s="1">
        <v>4200</v>
      </c>
      <c r="V87" s="1">
        <v>5300</v>
      </c>
    </row>
    <row r="88" spans="1:22" x14ac:dyDescent="0.3">
      <c r="A88" s="1">
        <v>2225</v>
      </c>
      <c r="B88" s="1" t="s">
        <v>395</v>
      </c>
      <c r="C88" s="1" t="s">
        <v>396</v>
      </c>
      <c r="D88" s="1">
        <v>2023</v>
      </c>
      <c r="E88" s="1" t="s">
        <v>132</v>
      </c>
      <c r="F88" s="1" t="s">
        <v>109</v>
      </c>
      <c r="G88" s="1">
        <v>19</v>
      </c>
      <c r="H88" s="1">
        <v>23</v>
      </c>
      <c r="I88" s="1">
        <v>4.0999999999999996</v>
      </c>
      <c r="J88" s="1">
        <v>5.6</v>
      </c>
      <c r="K88" s="1">
        <v>6.8</v>
      </c>
      <c r="L88" s="1">
        <v>7.3</v>
      </c>
      <c r="M88" s="1">
        <v>90</v>
      </c>
      <c r="N88" s="1">
        <v>126</v>
      </c>
      <c r="O88" s="1">
        <v>2</v>
      </c>
      <c r="P88" s="1">
        <v>2.9</v>
      </c>
      <c r="Q88" s="1">
        <v>0.7</v>
      </c>
      <c r="R88" s="1">
        <v>1.1000000000000001</v>
      </c>
      <c r="S88" s="1">
        <v>620</v>
      </c>
      <c r="T88" s="1">
        <v>620</v>
      </c>
      <c r="U88" s="1">
        <v>910</v>
      </c>
      <c r="V88" s="1">
        <v>1300</v>
      </c>
    </row>
    <row r="89" spans="1:22" x14ac:dyDescent="0.3">
      <c r="A89" s="1">
        <v>2214</v>
      </c>
      <c r="B89" s="1" t="s">
        <v>284</v>
      </c>
      <c r="C89" s="1" t="s">
        <v>397</v>
      </c>
      <c r="D89" s="1">
        <v>2023</v>
      </c>
      <c r="E89" s="1" t="s">
        <v>132</v>
      </c>
      <c r="F89" s="1" t="s">
        <v>109</v>
      </c>
      <c r="G89" s="1">
        <v>18</v>
      </c>
      <c r="H89" s="1">
        <v>32</v>
      </c>
      <c r="I89" s="1">
        <v>5</v>
      </c>
      <c r="J89" s="1">
        <v>7.6</v>
      </c>
      <c r="K89" s="1">
        <v>6.7</v>
      </c>
      <c r="L89" s="1">
        <v>7.8</v>
      </c>
      <c r="M89" s="1">
        <v>81</v>
      </c>
      <c r="N89" s="1">
        <v>112</v>
      </c>
      <c r="O89" s="1">
        <v>1.8</v>
      </c>
      <c r="P89" s="1">
        <v>2.7</v>
      </c>
      <c r="Q89" s="1">
        <v>0.8</v>
      </c>
      <c r="R89" s="1">
        <v>1.9</v>
      </c>
      <c r="S89" s="1">
        <v>300</v>
      </c>
      <c r="T89" s="1">
        <v>360</v>
      </c>
      <c r="U89" s="1">
        <v>730</v>
      </c>
      <c r="V89" s="1">
        <v>1200</v>
      </c>
    </row>
    <row r="90" spans="1:22" x14ac:dyDescent="0.3">
      <c r="A90" s="1">
        <v>2219</v>
      </c>
      <c r="B90" s="1" t="s">
        <v>285</v>
      </c>
      <c r="C90" s="1" t="s">
        <v>398</v>
      </c>
      <c r="D90" s="1">
        <v>2023</v>
      </c>
      <c r="E90" s="1" t="s">
        <v>132</v>
      </c>
      <c r="F90" s="1" t="s">
        <v>109</v>
      </c>
      <c r="G90" s="1">
        <v>22</v>
      </c>
      <c r="H90" s="1">
        <v>34</v>
      </c>
      <c r="I90" s="1">
        <v>6.1</v>
      </c>
      <c r="J90" s="1">
        <v>10.9</v>
      </c>
      <c r="K90" s="1">
        <v>6.8</v>
      </c>
      <c r="L90" s="1">
        <v>7.8</v>
      </c>
      <c r="M90" s="1">
        <v>174</v>
      </c>
      <c r="N90" s="1">
        <v>262</v>
      </c>
      <c r="O90" s="1">
        <v>2</v>
      </c>
      <c r="P90" s="1">
        <v>2.6</v>
      </c>
      <c r="Q90" s="1">
        <v>0.5</v>
      </c>
      <c r="R90" s="1">
        <v>1.8</v>
      </c>
      <c r="S90" s="1">
        <v>300</v>
      </c>
      <c r="T90" s="1">
        <v>730</v>
      </c>
      <c r="U90" s="1">
        <v>720</v>
      </c>
      <c r="V90" s="1">
        <v>2000</v>
      </c>
    </row>
    <row r="91" spans="1:22" x14ac:dyDescent="0.3">
      <c r="A91" s="1">
        <v>2208</v>
      </c>
      <c r="B91" s="2" t="s">
        <v>286</v>
      </c>
      <c r="C91" s="1" t="s">
        <v>287</v>
      </c>
      <c r="D91" s="1">
        <v>2023</v>
      </c>
      <c r="E91" s="1" t="s">
        <v>132</v>
      </c>
      <c r="F91" s="1" t="s">
        <v>109</v>
      </c>
      <c r="G91" s="1">
        <v>20</v>
      </c>
      <c r="H91" s="1">
        <v>34</v>
      </c>
      <c r="I91" s="1">
        <v>5.2</v>
      </c>
      <c r="J91" s="1">
        <v>7.9</v>
      </c>
      <c r="K91" s="1">
        <v>6.8</v>
      </c>
      <c r="L91" s="1">
        <v>7.5</v>
      </c>
      <c r="M91" s="1">
        <v>92</v>
      </c>
      <c r="N91" s="1">
        <v>114</v>
      </c>
      <c r="O91" s="1">
        <v>1.9</v>
      </c>
      <c r="P91" s="1">
        <v>2.8</v>
      </c>
      <c r="Q91" s="1">
        <v>0.7</v>
      </c>
      <c r="R91" s="1">
        <v>1.2</v>
      </c>
      <c r="S91" s="1">
        <v>300</v>
      </c>
      <c r="T91" s="1">
        <v>360</v>
      </c>
      <c r="U91" s="1">
        <v>700</v>
      </c>
      <c r="V91" s="1">
        <v>910</v>
      </c>
    </row>
    <row r="92" spans="1:22" x14ac:dyDescent="0.3">
      <c r="A92" s="1">
        <v>3772</v>
      </c>
      <c r="B92" s="3" t="s">
        <v>136</v>
      </c>
      <c r="C92" s="1" t="s">
        <v>366</v>
      </c>
      <c r="D92" s="1">
        <v>2023</v>
      </c>
      <c r="E92" s="1" t="s">
        <v>132</v>
      </c>
      <c r="F92" s="1" t="s">
        <v>109</v>
      </c>
      <c r="G92" s="1">
        <v>21</v>
      </c>
      <c r="H92" s="1">
        <v>36</v>
      </c>
      <c r="I92" s="1">
        <v>5.0999999999999996</v>
      </c>
      <c r="J92" s="1">
        <v>8.4</v>
      </c>
      <c r="K92" s="1">
        <v>6.8</v>
      </c>
      <c r="L92" s="1">
        <v>7.8</v>
      </c>
      <c r="M92" s="1">
        <v>98</v>
      </c>
      <c r="N92" s="1">
        <v>128</v>
      </c>
      <c r="O92" s="1">
        <v>2.1</v>
      </c>
      <c r="P92" s="1">
        <v>2.8</v>
      </c>
      <c r="Q92" s="1">
        <v>0.5</v>
      </c>
      <c r="R92" s="1">
        <v>1.1000000000000001</v>
      </c>
      <c r="S92" s="1">
        <v>300</v>
      </c>
      <c r="T92" s="1">
        <v>360</v>
      </c>
      <c r="U92" s="1">
        <v>700</v>
      </c>
      <c r="V92" s="1">
        <v>1100</v>
      </c>
    </row>
    <row r="93" spans="1:22" x14ac:dyDescent="0.3">
      <c r="A93" s="1">
        <v>2216</v>
      </c>
      <c r="B93" s="2" t="s">
        <v>288</v>
      </c>
      <c r="C93" s="1" t="s">
        <v>281</v>
      </c>
      <c r="D93" s="1">
        <v>2023</v>
      </c>
      <c r="E93" s="1" t="s">
        <v>132</v>
      </c>
      <c r="F93" s="1" t="s">
        <v>109</v>
      </c>
      <c r="G93" s="1">
        <v>20</v>
      </c>
      <c r="H93" s="1">
        <v>36</v>
      </c>
      <c r="I93" s="1">
        <v>5.0999999999999996</v>
      </c>
      <c r="J93" s="1">
        <v>10</v>
      </c>
      <c r="K93" s="1">
        <v>7.9</v>
      </c>
      <c r="L93" s="1">
        <v>8.1999999999999993</v>
      </c>
      <c r="M93" s="1">
        <v>168</v>
      </c>
      <c r="N93" s="1">
        <v>192</v>
      </c>
      <c r="O93" s="1">
        <v>2.2999999999999998</v>
      </c>
      <c r="P93" s="1">
        <v>2.8</v>
      </c>
      <c r="Q93" s="1">
        <v>0.6</v>
      </c>
      <c r="R93" s="1">
        <v>1.6</v>
      </c>
      <c r="S93" s="1">
        <v>360</v>
      </c>
      <c r="T93" s="1">
        <v>730</v>
      </c>
      <c r="U93" s="1">
        <v>1400</v>
      </c>
      <c r="V93" s="1">
        <v>1600</v>
      </c>
    </row>
    <row r="94" spans="1:22" x14ac:dyDescent="0.3">
      <c r="A94" s="1">
        <v>2221</v>
      </c>
      <c r="B94" s="3" t="s">
        <v>289</v>
      </c>
      <c r="C94" s="1" t="s">
        <v>290</v>
      </c>
      <c r="D94" s="1">
        <v>2023</v>
      </c>
      <c r="E94" s="1" t="s">
        <v>132</v>
      </c>
      <c r="F94" s="1" t="s">
        <v>109</v>
      </c>
      <c r="G94" s="1">
        <v>22</v>
      </c>
      <c r="H94" s="1">
        <v>35</v>
      </c>
      <c r="I94" s="1">
        <v>5.4</v>
      </c>
      <c r="J94" s="1">
        <v>10.1</v>
      </c>
      <c r="K94" s="1">
        <v>7</v>
      </c>
      <c r="L94" s="1">
        <v>7.9</v>
      </c>
      <c r="M94" s="1">
        <v>102</v>
      </c>
      <c r="N94" s="1">
        <v>130</v>
      </c>
      <c r="O94" s="1">
        <v>2</v>
      </c>
      <c r="P94" s="1">
        <v>2.6</v>
      </c>
      <c r="Q94" s="1">
        <v>0.5</v>
      </c>
      <c r="R94" s="1">
        <v>1.7</v>
      </c>
      <c r="S94" s="1">
        <v>300</v>
      </c>
      <c r="T94" s="1">
        <v>360</v>
      </c>
      <c r="U94" s="1">
        <v>600</v>
      </c>
      <c r="V94" s="1">
        <v>1400</v>
      </c>
    </row>
    <row r="95" spans="1:22" x14ac:dyDescent="0.3">
      <c r="A95" s="1">
        <v>2209</v>
      </c>
      <c r="B95" s="2" t="s">
        <v>291</v>
      </c>
      <c r="C95" s="1" t="s">
        <v>292</v>
      </c>
      <c r="D95" s="1">
        <v>2023</v>
      </c>
      <c r="E95" s="1" t="s">
        <v>132</v>
      </c>
      <c r="F95" s="1" t="s">
        <v>109</v>
      </c>
      <c r="G95" s="1">
        <v>22</v>
      </c>
      <c r="H95" s="1">
        <v>35</v>
      </c>
      <c r="I95" s="1">
        <v>5</v>
      </c>
      <c r="J95" s="1">
        <v>7.5</v>
      </c>
      <c r="K95" s="1">
        <v>6.7</v>
      </c>
      <c r="L95" s="1">
        <v>7.5</v>
      </c>
      <c r="M95" s="1">
        <v>97</v>
      </c>
      <c r="N95" s="1">
        <v>128</v>
      </c>
      <c r="O95" s="1">
        <v>1.6</v>
      </c>
      <c r="P95" s="1">
        <v>2.7</v>
      </c>
      <c r="Q95" s="1">
        <v>0.7</v>
      </c>
      <c r="R95" s="1">
        <v>1.5</v>
      </c>
      <c r="S95" s="1">
        <v>360</v>
      </c>
      <c r="T95" s="1">
        <v>910</v>
      </c>
      <c r="U95" s="1">
        <v>730</v>
      </c>
      <c r="V95" s="1">
        <v>1500</v>
      </c>
    </row>
    <row r="96" spans="1:22" x14ac:dyDescent="0.3">
      <c r="A96" s="1">
        <v>2212</v>
      </c>
      <c r="B96" s="3" t="s">
        <v>293</v>
      </c>
      <c r="C96" s="1" t="s">
        <v>294</v>
      </c>
      <c r="D96" s="1">
        <v>2023</v>
      </c>
      <c r="E96" s="1" t="s">
        <v>132</v>
      </c>
      <c r="F96" s="1" t="s">
        <v>109</v>
      </c>
      <c r="G96" s="1">
        <v>21</v>
      </c>
      <c r="H96" s="1">
        <v>30</v>
      </c>
      <c r="I96" s="1">
        <v>6.8</v>
      </c>
      <c r="J96" s="1">
        <v>7.3</v>
      </c>
      <c r="K96" s="1">
        <v>6.8</v>
      </c>
      <c r="L96" s="1">
        <v>7.6</v>
      </c>
      <c r="M96" s="1">
        <v>138</v>
      </c>
      <c r="N96" s="1">
        <v>192</v>
      </c>
      <c r="O96" s="1">
        <v>2</v>
      </c>
      <c r="P96" s="1">
        <v>2.7</v>
      </c>
      <c r="Q96" s="1">
        <v>0.6</v>
      </c>
      <c r="R96" s="1">
        <v>1.7</v>
      </c>
      <c r="S96" s="1">
        <v>300</v>
      </c>
      <c r="T96" s="1">
        <v>620</v>
      </c>
      <c r="U96" s="1">
        <v>910</v>
      </c>
      <c r="V96" s="1">
        <v>1200</v>
      </c>
    </row>
    <row r="97" spans="1:22" x14ac:dyDescent="0.3">
      <c r="A97" s="1">
        <v>2227</v>
      </c>
      <c r="B97" s="2" t="s">
        <v>295</v>
      </c>
      <c r="C97" s="1" t="s">
        <v>296</v>
      </c>
      <c r="D97" s="1">
        <v>2023</v>
      </c>
      <c r="E97" s="1" t="s">
        <v>132</v>
      </c>
      <c r="F97" s="1" t="s">
        <v>109</v>
      </c>
      <c r="G97" s="1">
        <v>21</v>
      </c>
      <c r="H97" s="1">
        <v>35</v>
      </c>
      <c r="I97" s="1">
        <v>5.7</v>
      </c>
      <c r="J97" s="1">
        <v>8.1</v>
      </c>
      <c r="K97" s="1">
        <v>6.7</v>
      </c>
      <c r="L97" s="1">
        <v>7.5</v>
      </c>
      <c r="M97" s="1">
        <v>88</v>
      </c>
      <c r="N97" s="1">
        <v>112</v>
      </c>
      <c r="O97" s="1">
        <v>2</v>
      </c>
      <c r="P97" s="1">
        <v>2.8</v>
      </c>
      <c r="Q97" s="1">
        <v>0.6</v>
      </c>
      <c r="R97" s="1">
        <v>1.1000000000000001</v>
      </c>
      <c r="S97" s="1">
        <v>300</v>
      </c>
      <c r="T97" s="1">
        <v>730</v>
      </c>
      <c r="U97" s="1">
        <v>600</v>
      </c>
      <c r="V97" s="1">
        <v>1500</v>
      </c>
    </row>
    <row r="98" spans="1:22" x14ac:dyDescent="0.3">
      <c r="A98" s="1">
        <v>2213</v>
      </c>
      <c r="B98" s="3" t="s">
        <v>297</v>
      </c>
      <c r="C98" s="1" t="s">
        <v>298</v>
      </c>
      <c r="D98" s="1">
        <v>2023</v>
      </c>
      <c r="E98" s="1" t="s">
        <v>132</v>
      </c>
      <c r="F98" s="1" t="s">
        <v>109</v>
      </c>
      <c r="G98" s="1">
        <v>20</v>
      </c>
      <c r="H98" s="1">
        <v>34</v>
      </c>
      <c r="I98" s="1">
        <v>7</v>
      </c>
      <c r="J98" s="1">
        <v>7.3</v>
      </c>
      <c r="K98" s="1">
        <v>6.8</v>
      </c>
      <c r="L98" s="1">
        <v>7.5</v>
      </c>
      <c r="M98" s="1">
        <v>136</v>
      </c>
      <c r="N98" s="1">
        <v>178</v>
      </c>
      <c r="O98" s="1">
        <v>2</v>
      </c>
      <c r="P98" s="1">
        <v>2.5</v>
      </c>
      <c r="Q98" s="1">
        <v>0.9</v>
      </c>
      <c r="R98" s="1">
        <v>1.7</v>
      </c>
      <c r="S98" s="1">
        <v>300</v>
      </c>
      <c r="T98" s="1">
        <v>920</v>
      </c>
      <c r="U98" s="1">
        <v>730</v>
      </c>
      <c r="V98" s="1">
        <v>1600</v>
      </c>
    </row>
    <row r="99" spans="1:22" x14ac:dyDescent="0.3">
      <c r="A99" s="1">
        <v>1532</v>
      </c>
      <c r="B99" s="2" t="s">
        <v>299</v>
      </c>
      <c r="C99" s="1" t="s">
        <v>300</v>
      </c>
      <c r="D99" s="1">
        <v>2023</v>
      </c>
      <c r="E99" s="1" t="s">
        <v>132</v>
      </c>
      <c r="F99" s="1" t="s">
        <v>109</v>
      </c>
      <c r="G99" s="1">
        <v>20</v>
      </c>
      <c r="H99" s="1">
        <v>32</v>
      </c>
      <c r="I99" s="1">
        <v>5.0999999999999996</v>
      </c>
      <c r="J99" s="1">
        <v>7.6</v>
      </c>
      <c r="K99" s="1">
        <v>6.9</v>
      </c>
      <c r="L99" s="1">
        <v>7.6</v>
      </c>
      <c r="M99" s="1">
        <v>102</v>
      </c>
      <c r="N99" s="1">
        <v>122</v>
      </c>
      <c r="O99" s="1">
        <v>1.8</v>
      </c>
      <c r="P99" s="1">
        <v>2.6</v>
      </c>
      <c r="Q99" s="1">
        <v>0.6</v>
      </c>
      <c r="R99" s="1">
        <v>1</v>
      </c>
      <c r="S99" s="1">
        <v>300</v>
      </c>
      <c r="T99" s="1">
        <v>360</v>
      </c>
      <c r="U99" s="1">
        <v>600</v>
      </c>
      <c r="V99" s="1">
        <v>910</v>
      </c>
    </row>
    <row r="100" spans="1:22" x14ac:dyDescent="0.3">
      <c r="A100" s="1">
        <v>3809</v>
      </c>
      <c r="B100" s="3" t="s">
        <v>144</v>
      </c>
      <c r="C100" s="1" t="s">
        <v>366</v>
      </c>
      <c r="D100" s="1">
        <v>2023</v>
      </c>
      <c r="E100" s="1" t="s">
        <v>132</v>
      </c>
      <c r="F100" s="1" t="s">
        <v>109</v>
      </c>
      <c r="G100" s="1">
        <v>20</v>
      </c>
      <c r="H100" s="1">
        <v>31</v>
      </c>
      <c r="I100" s="1">
        <v>5</v>
      </c>
      <c r="J100" s="1">
        <v>7.7</v>
      </c>
      <c r="K100" s="1">
        <v>6.9</v>
      </c>
      <c r="L100" s="1">
        <v>7.8</v>
      </c>
      <c r="M100" s="1">
        <v>322</v>
      </c>
      <c r="N100" s="1">
        <v>364</v>
      </c>
      <c r="O100" s="1">
        <v>2.1</v>
      </c>
      <c r="P100" s="1">
        <v>2.8</v>
      </c>
      <c r="Q100" s="1">
        <v>0.7</v>
      </c>
      <c r="R100" s="1">
        <v>5</v>
      </c>
      <c r="S100" s="1">
        <v>300</v>
      </c>
      <c r="T100" s="1">
        <v>940</v>
      </c>
      <c r="U100" s="1">
        <v>1400</v>
      </c>
      <c r="V100" s="1">
        <v>2000</v>
      </c>
    </row>
    <row r="101" spans="1:22" x14ac:dyDescent="0.3">
      <c r="A101" s="1">
        <v>2223</v>
      </c>
      <c r="B101" s="2" t="s">
        <v>301</v>
      </c>
      <c r="C101" s="1" t="s">
        <v>262</v>
      </c>
      <c r="D101" s="1">
        <v>2023</v>
      </c>
      <c r="E101" s="1" t="s">
        <v>132</v>
      </c>
      <c r="F101" s="1" t="s">
        <v>109</v>
      </c>
      <c r="G101" s="1">
        <v>22</v>
      </c>
      <c r="H101" s="1">
        <v>35</v>
      </c>
      <c r="I101" s="1">
        <v>5</v>
      </c>
      <c r="J101" s="1">
        <v>5.4</v>
      </c>
      <c r="K101" s="1">
        <v>6.9</v>
      </c>
      <c r="L101" s="1">
        <v>7.6</v>
      </c>
      <c r="M101" s="1">
        <v>94</v>
      </c>
      <c r="N101" s="1">
        <v>126</v>
      </c>
      <c r="O101" s="1">
        <v>1.8</v>
      </c>
      <c r="P101" s="1">
        <v>2.5</v>
      </c>
      <c r="Q101" s="1">
        <v>0.7</v>
      </c>
      <c r="R101" s="1">
        <v>1.7</v>
      </c>
      <c r="S101" s="1">
        <v>300</v>
      </c>
      <c r="T101" s="1">
        <v>620</v>
      </c>
      <c r="U101" s="1">
        <v>720</v>
      </c>
      <c r="V101" s="1">
        <v>1600</v>
      </c>
    </row>
    <row r="102" spans="1:22" x14ac:dyDescent="0.3">
      <c r="A102" s="1">
        <v>4006</v>
      </c>
      <c r="B102" s="3" t="s">
        <v>146</v>
      </c>
      <c r="C102" s="1" t="s">
        <v>366</v>
      </c>
      <c r="D102" s="1">
        <v>2023</v>
      </c>
      <c r="E102" s="1" t="s">
        <v>132</v>
      </c>
      <c r="F102" s="1" t="s">
        <v>109</v>
      </c>
      <c r="G102" s="1">
        <v>22</v>
      </c>
      <c r="H102" s="1">
        <v>35</v>
      </c>
      <c r="I102" s="1">
        <v>5.6</v>
      </c>
      <c r="J102" s="1">
        <v>7.6</v>
      </c>
      <c r="K102" s="1">
        <v>6.7</v>
      </c>
      <c r="L102" s="1">
        <v>7.4</v>
      </c>
      <c r="M102" s="1">
        <v>90</v>
      </c>
      <c r="N102" s="1">
        <v>120</v>
      </c>
      <c r="O102" s="1">
        <v>2.1</v>
      </c>
      <c r="P102" s="1">
        <v>2.6</v>
      </c>
      <c r="Q102" s="1">
        <v>0.6</v>
      </c>
      <c r="R102" s="1">
        <v>1.1000000000000001</v>
      </c>
      <c r="S102" s="1">
        <v>300</v>
      </c>
      <c r="T102" s="1">
        <v>360</v>
      </c>
      <c r="U102" s="1">
        <v>720</v>
      </c>
      <c r="V102" s="1">
        <v>730</v>
      </c>
    </row>
    <row r="103" spans="1:22" x14ac:dyDescent="0.3">
      <c r="A103" s="1">
        <v>2211</v>
      </c>
      <c r="B103" s="2" t="s">
        <v>302</v>
      </c>
      <c r="C103" s="1" t="s">
        <v>303</v>
      </c>
      <c r="D103" s="1">
        <v>2023</v>
      </c>
      <c r="E103" s="1" t="s">
        <v>132</v>
      </c>
      <c r="F103" s="1" t="s">
        <v>109</v>
      </c>
      <c r="G103" s="1">
        <v>20</v>
      </c>
      <c r="H103" s="1">
        <v>34</v>
      </c>
      <c r="I103" s="1">
        <v>6.8</v>
      </c>
      <c r="J103" s="1">
        <v>7.2</v>
      </c>
      <c r="K103" s="1">
        <v>6.9</v>
      </c>
      <c r="L103" s="1">
        <v>7.6</v>
      </c>
      <c r="M103" s="1">
        <v>186</v>
      </c>
      <c r="N103" s="1">
        <v>240</v>
      </c>
      <c r="O103" s="1">
        <v>2.2000000000000002</v>
      </c>
      <c r="P103" s="1">
        <v>2.7</v>
      </c>
      <c r="Q103" s="1">
        <v>0.6</v>
      </c>
      <c r="R103" s="1">
        <v>1.6</v>
      </c>
      <c r="S103" s="1">
        <v>300</v>
      </c>
      <c r="T103" s="1">
        <v>730</v>
      </c>
      <c r="U103" s="1">
        <v>600</v>
      </c>
      <c r="V103" s="1">
        <v>1500</v>
      </c>
    </row>
    <row r="104" spans="1:22" x14ac:dyDescent="0.3">
      <c r="A104" s="1">
        <v>2222</v>
      </c>
      <c r="B104" s="3" t="s">
        <v>304</v>
      </c>
      <c r="C104" s="1" t="s">
        <v>262</v>
      </c>
      <c r="D104" s="1">
        <v>2023</v>
      </c>
      <c r="E104" s="1" t="s">
        <v>132</v>
      </c>
      <c r="F104" s="1" t="s">
        <v>109</v>
      </c>
      <c r="G104" s="1">
        <v>23</v>
      </c>
      <c r="H104" s="1">
        <v>38</v>
      </c>
      <c r="I104" s="1">
        <v>5.0999999999999996</v>
      </c>
      <c r="J104" s="1">
        <v>5.4</v>
      </c>
      <c r="K104" s="1">
        <v>6.9</v>
      </c>
      <c r="L104" s="1">
        <v>7.5</v>
      </c>
      <c r="M104" s="1">
        <v>132</v>
      </c>
      <c r="N104" s="1">
        <v>156</v>
      </c>
      <c r="O104" s="1">
        <v>2</v>
      </c>
      <c r="P104" s="1">
        <v>2.5</v>
      </c>
      <c r="Q104" s="1">
        <v>0.7</v>
      </c>
      <c r="R104" s="1">
        <v>2</v>
      </c>
      <c r="S104" s="1">
        <v>300</v>
      </c>
      <c r="T104" s="1">
        <v>620</v>
      </c>
      <c r="U104" s="1">
        <v>910</v>
      </c>
      <c r="V104" s="1">
        <v>1300</v>
      </c>
    </row>
    <row r="105" spans="1:22" x14ac:dyDescent="0.3">
      <c r="A105" s="1">
        <v>2224</v>
      </c>
      <c r="B105" s="2" t="s">
        <v>305</v>
      </c>
      <c r="C105" s="1" t="s">
        <v>262</v>
      </c>
      <c r="D105" s="1">
        <v>2023</v>
      </c>
      <c r="E105" s="1" t="s">
        <v>132</v>
      </c>
      <c r="F105" s="1" t="s">
        <v>109</v>
      </c>
      <c r="G105" s="1">
        <v>22</v>
      </c>
      <c r="H105" s="1">
        <v>35</v>
      </c>
      <c r="I105" s="1">
        <v>5</v>
      </c>
      <c r="J105" s="1">
        <v>5.5</v>
      </c>
      <c r="K105" s="1">
        <v>6.9</v>
      </c>
      <c r="L105" s="1">
        <v>7.4</v>
      </c>
      <c r="M105" s="1">
        <v>110</v>
      </c>
      <c r="N105" s="1">
        <v>150</v>
      </c>
      <c r="O105" s="1">
        <v>2</v>
      </c>
      <c r="P105" s="1">
        <v>2.6</v>
      </c>
      <c r="Q105" s="1">
        <v>0.7</v>
      </c>
      <c r="R105" s="1">
        <v>1.8</v>
      </c>
      <c r="S105" s="1">
        <v>300</v>
      </c>
      <c r="T105" s="1">
        <v>620</v>
      </c>
      <c r="U105" s="1">
        <v>730</v>
      </c>
      <c r="V105" s="1">
        <v>1400</v>
      </c>
    </row>
    <row r="106" spans="1:22" x14ac:dyDescent="0.3">
      <c r="A106" s="1">
        <v>2210</v>
      </c>
      <c r="B106" s="3" t="s">
        <v>306</v>
      </c>
      <c r="C106" s="1" t="s">
        <v>307</v>
      </c>
      <c r="D106" s="1">
        <v>2023</v>
      </c>
      <c r="E106" s="1" t="s">
        <v>132</v>
      </c>
      <c r="F106" s="1" t="s">
        <v>109</v>
      </c>
      <c r="G106" s="1">
        <v>23</v>
      </c>
      <c r="H106" s="1">
        <v>36</v>
      </c>
      <c r="I106" s="1">
        <v>5.3</v>
      </c>
      <c r="J106" s="1">
        <v>7.9</v>
      </c>
      <c r="K106" s="1">
        <v>6.9</v>
      </c>
      <c r="L106" s="1">
        <v>7.9</v>
      </c>
      <c r="M106" s="1">
        <v>90</v>
      </c>
      <c r="N106" s="1">
        <v>130</v>
      </c>
      <c r="O106" s="1">
        <v>2</v>
      </c>
      <c r="P106" s="1">
        <v>2.7</v>
      </c>
      <c r="Q106" s="1">
        <v>0.6</v>
      </c>
      <c r="R106" s="1">
        <v>1.4</v>
      </c>
      <c r="S106" s="1">
        <v>300</v>
      </c>
      <c r="T106" s="1">
        <v>730</v>
      </c>
      <c r="U106" s="1">
        <v>720</v>
      </c>
      <c r="V106" s="1">
        <v>1100</v>
      </c>
    </row>
    <row r="107" spans="1:22" x14ac:dyDescent="0.3">
      <c r="A107" s="1">
        <v>3806</v>
      </c>
      <c r="B107" s="2" t="s">
        <v>151</v>
      </c>
      <c r="C107" s="1" t="s">
        <v>366</v>
      </c>
      <c r="D107" s="1">
        <v>2023</v>
      </c>
      <c r="E107" s="1" t="s">
        <v>132</v>
      </c>
      <c r="F107" s="1" t="s">
        <v>109</v>
      </c>
      <c r="G107" s="1">
        <v>22</v>
      </c>
      <c r="H107" s="1">
        <v>24</v>
      </c>
      <c r="I107" s="1">
        <v>5.0999999999999996</v>
      </c>
      <c r="J107" s="1">
        <v>6.2</v>
      </c>
      <c r="K107" s="1">
        <v>6.5</v>
      </c>
      <c r="L107" s="1">
        <v>7.2</v>
      </c>
      <c r="M107" s="1">
        <v>120</v>
      </c>
      <c r="N107" s="1">
        <v>156</v>
      </c>
      <c r="O107" s="1">
        <v>2.2999999999999998</v>
      </c>
      <c r="P107" s="1">
        <v>2.9</v>
      </c>
      <c r="Q107" s="1">
        <v>0.7</v>
      </c>
      <c r="R107" s="1">
        <v>1.1000000000000001</v>
      </c>
      <c r="S107" s="1">
        <v>300</v>
      </c>
      <c r="T107" s="1">
        <v>620</v>
      </c>
      <c r="U107" s="1">
        <v>910</v>
      </c>
      <c r="V107" s="1">
        <v>1400</v>
      </c>
    </row>
    <row r="108" spans="1:22" x14ac:dyDescent="0.3">
      <c r="A108" s="1">
        <v>2226</v>
      </c>
      <c r="B108" s="3" t="s">
        <v>308</v>
      </c>
      <c r="C108" s="1" t="s">
        <v>262</v>
      </c>
      <c r="D108" s="1">
        <v>2023</v>
      </c>
      <c r="E108" s="1" t="s">
        <v>132</v>
      </c>
      <c r="F108" s="1" t="s">
        <v>109</v>
      </c>
      <c r="G108" s="1">
        <v>21</v>
      </c>
      <c r="H108" s="1">
        <v>34</v>
      </c>
      <c r="I108" s="1">
        <v>5.2</v>
      </c>
      <c r="J108" s="1">
        <v>7.9</v>
      </c>
      <c r="K108" s="1">
        <v>6.8</v>
      </c>
      <c r="L108" s="1">
        <v>7.6</v>
      </c>
      <c r="M108" s="1">
        <v>70</v>
      </c>
      <c r="N108" s="1">
        <v>120</v>
      </c>
      <c r="O108" s="1">
        <v>2</v>
      </c>
      <c r="P108" s="1">
        <v>2.8</v>
      </c>
      <c r="Q108" s="1">
        <v>0.6</v>
      </c>
      <c r="R108" s="1">
        <v>1.3</v>
      </c>
      <c r="S108" s="1">
        <v>300</v>
      </c>
      <c r="T108" s="1">
        <v>360</v>
      </c>
      <c r="U108" s="1">
        <v>730</v>
      </c>
      <c r="V108" s="1">
        <v>1100</v>
      </c>
    </row>
    <row r="109" spans="1:22" x14ac:dyDescent="0.3">
      <c r="A109" s="1">
        <v>2217</v>
      </c>
      <c r="B109" s="2" t="s">
        <v>309</v>
      </c>
      <c r="C109" s="1" t="s">
        <v>281</v>
      </c>
      <c r="D109" s="1">
        <v>2023</v>
      </c>
      <c r="E109" s="1" t="s">
        <v>132</v>
      </c>
      <c r="F109" s="1" t="s">
        <v>109</v>
      </c>
      <c r="G109" s="1">
        <v>20</v>
      </c>
      <c r="H109" s="1">
        <v>32</v>
      </c>
      <c r="I109" s="1">
        <v>5</v>
      </c>
      <c r="J109" s="1">
        <v>8.5</v>
      </c>
      <c r="K109" s="1">
        <v>6.8</v>
      </c>
      <c r="L109" s="1">
        <v>7.6</v>
      </c>
      <c r="M109" s="1">
        <v>240</v>
      </c>
      <c r="N109" s="1">
        <v>278</v>
      </c>
      <c r="O109" s="1">
        <v>2.2000000000000002</v>
      </c>
      <c r="P109" s="1">
        <v>2.8</v>
      </c>
      <c r="Q109" s="1">
        <v>0.6</v>
      </c>
      <c r="R109" s="1">
        <v>1.8</v>
      </c>
      <c r="S109" s="1">
        <v>300</v>
      </c>
      <c r="T109" s="1">
        <v>910</v>
      </c>
      <c r="U109" s="1">
        <v>1100</v>
      </c>
      <c r="V109" s="1">
        <v>2000</v>
      </c>
    </row>
    <row r="110" spans="1:22" x14ac:dyDescent="0.3">
      <c r="A110" s="1">
        <v>3775</v>
      </c>
      <c r="B110" s="3" t="s">
        <v>154</v>
      </c>
      <c r="C110" s="1" t="s">
        <v>366</v>
      </c>
      <c r="D110" s="1">
        <v>2023</v>
      </c>
      <c r="E110" s="1" t="s">
        <v>132</v>
      </c>
      <c r="F110" s="1" t="s">
        <v>109</v>
      </c>
      <c r="G110" s="1">
        <v>21</v>
      </c>
      <c r="H110" s="1">
        <v>35</v>
      </c>
      <c r="I110" s="1">
        <v>5.2</v>
      </c>
      <c r="J110" s="1">
        <v>8.1</v>
      </c>
      <c r="K110" s="1">
        <v>6.6</v>
      </c>
      <c r="L110" s="1">
        <v>7.7</v>
      </c>
      <c r="M110" s="1">
        <v>96</v>
      </c>
      <c r="N110" s="1">
        <v>112</v>
      </c>
      <c r="O110" s="1">
        <v>1.9</v>
      </c>
      <c r="P110" s="1">
        <v>2.5</v>
      </c>
      <c r="Q110" s="1">
        <v>0.7</v>
      </c>
      <c r="R110" s="1">
        <v>1</v>
      </c>
      <c r="S110" s="1">
        <v>300</v>
      </c>
      <c r="T110" s="1">
        <v>730</v>
      </c>
      <c r="U110" s="1">
        <v>730</v>
      </c>
      <c r="V110" s="1">
        <v>1500</v>
      </c>
    </row>
    <row r="111" spans="1:22" x14ac:dyDescent="0.3">
      <c r="A111" s="1">
        <v>4334</v>
      </c>
      <c r="B111" s="2" t="s">
        <v>310</v>
      </c>
      <c r="C111" s="1" t="s">
        <v>311</v>
      </c>
      <c r="D111" s="1">
        <v>2023</v>
      </c>
      <c r="E111" s="1" t="s">
        <v>132</v>
      </c>
      <c r="F111" s="1" t="s">
        <v>109</v>
      </c>
      <c r="G111" s="1">
        <v>22</v>
      </c>
      <c r="H111" s="1">
        <v>36</v>
      </c>
      <c r="I111" s="1">
        <v>5</v>
      </c>
      <c r="J111" s="1">
        <v>7.8</v>
      </c>
      <c r="K111" s="1">
        <v>6.6</v>
      </c>
      <c r="L111" s="1">
        <v>7.4</v>
      </c>
      <c r="M111" s="1">
        <v>80</v>
      </c>
      <c r="N111" s="1">
        <v>108</v>
      </c>
      <c r="O111" s="1">
        <v>2</v>
      </c>
      <c r="P111" s="1">
        <v>2.6</v>
      </c>
      <c r="Q111" s="1">
        <v>0.7</v>
      </c>
      <c r="R111" s="1">
        <v>1.2</v>
      </c>
      <c r="S111" s="1">
        <v>300</v>
      </c>
      <c r="T111" s="1">
        <v>360</v>
      </c>
      <c r="U111" s="1">
        <v>620</v>
      </c>
      <c r="V111" s="1">
        <v>910</v>
      </c>
    </row>
    <row r="112" spans="1:22" x14ac:dyDescent="0.3">
      <c r="A112" s="1">
        <v>4349</v>
      </c>
      <c r="B112" s="3" t="s">
        <v>374</v>
      </c>
      <c r="C112" s="1" t="s">
        <v>375</v>
      </c>
      <c r="D112" s="1">
        <v>2021</v>
      </c>
      <c r="E112" s="1" t="s">
        <v>69</v>
      </c>
      <c r="F112" s="1" t="s">
        <v>70</v>
      </c>
      <c r="G112" s="1">
        <v>21</v>
      </c>
      <c r="H112" s="1">
        <v>34</v>
      </c>
      <c r="I112" s="1">
        <v>5</v>
      </c>
      <c r="J112" s="1">
        <v>8</v>
      </c>
      <c r="K112" s="1">
        <v>7.2</v>
      </c>
      <c r="L112" s="1">
        <v>8.1</v>
      </c>
      <c r="M112" s="1">
        <v>25900</v>
      </c>
      <c r="N112" s="1">
        <v>53500</v>
      </c>
      <c r="O112" s="1">
        <v>1.6</v>
      </c>
      <c r="P112" s="1">
        <v>2.4</v>
      </c>
      <c r="Q112" s="1">
        <v>0.4</v>
      </c>
      <c r="R112" s="1">
        <v>1.7</v>
      </c>
      <c r="S112" s="1">
        <v>4</v>
      </c>
      <c r="T112" s="1">
        <v>7</v>
      </c>
      <c r="U112" s="1">
        <v>64</v>
      </c>
      <c r="V112" s="1">
        <v>95</v>
      </c>
    </row>
    <row r="113" spans="1:22" x14ac:dyDescent="0.3">
      <c r="A113" s="1">
        <v>4352</v>
      </c>
      <c r="B113" s="2" t="s">
        <v>376</v>
      </c>
      <c r="C113" s="1" t="s">
        <v>370</v>
      </c>
      <c r="D113" s="1">
        <v>2021</v>
      </c>
      <c r="E113" s="1" t="s">
        <v>69</v>
      </c>
      <c r="F113" s="1" t="s">
        <v>70</v>
      </c>
      <c r="G113" s="1">
        <v>25</v>
      </c>
      <c r="H113" s="1">
        <v>32</v>
      </c>
      <c r="I113" s="1">
        <v>5.3</v>
      </c>
      <c r="J113" s="1">
        <v>8.5</v>
      </c>
      <c r="K113" s="1">
        <v>7.4</v>
      </c>
      <c r="L113" s="1">
        <v>8.1</v>
      </c>
      <c r="M113" s="1">
        <v>34700</v>
      </c>
      <c r="N113" s="1">
        <v>53500</v>
      </c>
      <c r="O113" s="1">
        <v>1.6</v>
      </c>
      <c r="P113" s="1">
        <v>2.5</v>
      </c>
      <c r="Q113" s="1">
        <v>0.3</v>
      </c>
      <c r="R113" s="1">
        <v>1.8</v>
      </c>
      <c r="S113" s="1">
        <v>4</v>
      </c>
      <c r="T113" s="1">
        <v>7</v>
      </c>
      <c r="U113" s="1">
        <v>64</v>
      </c>
      <c r="V113" s="1">
        <v>95</v>
      </c>
    </row>
    <row r="114" spans="1:22" x14ac:dyDescent="0.3">
      <c r="A114" s="1">
        <v>4357</v>
      </c>
      <c r="B114" s="1" t="s">
        <v>73</v>
      </c>
      <c r="C114" s="1"/>
      <c r="D114" s="1">
        <v>2021</v>
      </c>
      <c r="E114" s="1" t="s">
        <v>75</v>
      </c>
      <c r="F114" s="1" t="s">
        <v>70</v>
      </c>
      <c r="G114" s="1">
        <v>26</v>
      </c>
      <c r="H114" s="1">
        <v>29</v>
      </c>
      <c r="I114" s="1">
        <v>5</v>
      </c>
      <c r="J114" s="1">
        <v>8.1999999999999993</v>
      </c>
      <c r="K114" s="1">
        <v>7.1</v>
      </c>
      <c r="L114" s="1">
        <v>8.5</v>
      </c>
      <c r="M114" s="1">
        <v>36800</v>
      </c>
      <c r="N114" s="1">
        <v>53500</v>
      </c>
      <c r="O114" s="1">
        <v>1.5</v>
      </c>
      <c r="P114" s="1">
        <v>2.2000000000000002</v>
      </c>
      <c r="Q114" s="1">
        <v>0.3</v>
      </c>
      <c r="R114" s="1">
        <v>1.3</v>
      </c>
      <c r="S114" s="1">
        <v>4</v>
      </c>
      <c r="T114" s="1">
        <v>9</v>
      </c>
      <c r="U114" s="1">
        <v>64</v>
      </c>
      <c r="V114" s="1">
        <v>120</v>
      </c>
    </row>
    <row r="115" spans="1:22" x14ac:dyDescent="0.3">
      <c r="A115" s="1">
        <v>4361</v>
      </c>
      <c r="B115" s="1" t="s">
        <v>76</v>
      </c>
      <c r="C115" s="1" t="s">
        <v>77</v>
      </c>
      <c r="D115" s="1">
        <v>2021</v>
      </c>
      <c r="E115" s="1" t="s">
        <v>75</v>
      </c>
      <c r="F115" s="1" t="s">
        <v>70</v>
      </c>
      <c r="G115" s="1">
        <v>24</v>
      </c>
      <c r="H115" s="1">
        <v>29</v>
      </c>
      <c r="I115" s="1">
        <v>3.2</v>
      </c>
      <c r="J115" s="1">
        <v>7</v>
      </c>
      <c r="K115" s="1">
        <v>7</v>
      </c>
      <c r="L115" s="1">
        <v>7.9</v>
      </c>
      <c r="M115" s="1">
        <v>30600</v>
      </c>
      <c r="N115" s="1">
        <v>53100</v>
      </c>
      <c r="O115" s="4">
        <v>1.73</v>
      </c>
      <c r="P115" s="1">
        <v>2.8</v>
      </c>
      <c r="Q115" s="1">
        <v>0.3</v>
      </c>
      <c r="R115" s="1">
        <v>3</v>
      </c>
      <c r="S115" s="1">
        <v>3</v>
      </c>
      <c r="T115" s="1">
        <v>7</v>
      </c>
      <c r="U115" s="1">
        <v>49</v>
      </c>
      <c r="V115" s="1">
        <v>93</v>
      </c>
    </row>
    <row r="116" spans="1:22" x14ac:dyDescent="0.3">
      <c r="A116" s="1">
        <v>4362</v>
      </c>
      <c r="B116" s="1" t="s">
        <v>471</v>
      </c>
      <c r="C116" s="1" t="s">
        <v>470</v>
      </c>
      <c r="D116" s="1">
        <v>2021</v>
      </c>
      <c r="E116" s="1" t="s">
        <v>79</v>
      </c>
      <c r="F116" s="1" t="s">
        <v>70</v>
      </c>
      <c r="G116" s="1">
        <v>23</v>
      </c>
      <c r="H116" s="1">
        <v>29</v>
      </c>
      <c r="I116" s="1">
        <v>3.8</v>
      </c>
      <c r="J116" s="1">
        <v>7.2</v>
      </c>
      <c r="K116" s="1">
        <v>7</v>
      </c>
      <c r="L116" s="1">
        <v>8</v>
      </c>
      <c r="M116" s="1">
        <v>1120</v>
      </c>
      <c r="N116" s="1">
        <v>50800</v>
      </c>
      <c r="O116" s="1">
        <v>1.9</v>
      </c>
      <c r="P116" s="1">
        <v>3</v>
      </c>
      <c r="Q116" s="1">
        <v>0.3</v>
      </c>
      <c r="R116" s="1">
        <v>3.7</v>
      </c>
      <c r="S116" s="1">
        <v>4</v>
      </c>
      <c r="T116" s="1">
        <v>15</v>
      </c>
      <c r="U116" s="1">
        <v>64</v>
      </c>
      <c r="V116" s="1">
        <v>120</v>
      </c>
    </row>
    <row r="117" spans="1:22" x14ac:dyDescent="0.3">
      <c r="A117" s="1">
        <v>4363</v>
      </c>
      <c r="B117" s="1" t="s">
        <v>472</v>
      </c>
      <c r="C117" s="1" t="s">
        <v>77</v>
      </c>
      <c r="D117" s="1">
        <v>2021</v>
      </c>
      <c r="E117" s="1" t="s">
        <v>79</v>
      </c>
      <c r="F117" s="1" t="s">
        <v>70</v>
      </c>
      <c r="G117" s="1">
        <v>23</v>
      </c>
      <c r="H117" s="1">
        <v>30</v>
      </c>
      <c r="I117" s="1">
        <v>2</v>
      </c>
      <c r="J117" s="1">
        <v>6.6</v>
      </c>
      <c r="K117" s="1">
        <v>7</v>
      </c>
      <c r="L117" s="1">
        <v>8</v>
      </c>
      <c r="M117" s="1">
        <v>1020</v>
      </c>
      <c r="N117" s="1">
        <v>46900</v>
      </c>
      <c r="O117" s="1">
        <v>2.2000000000000002</v>
      </c>
      <c r="P117" s="1">
        <v>5.8</v>
      </c>
      <c r="Q117" s="1">
        <v>0.3</v>
      </c>
      <c r="R117" s="1">
        <v>3.5</v>
      </c>
      <c r="S117" s="1">
        <v>4</v>
      </c>
      <c r="T117" s="1">
        <v>9</v>
      </c>
      <c r="U117" s="1">
        <v>75</v>
      </c>
      <c r="V117" s="1">
        <v>120</v>
      </c>
    </row>
    <row r="118" spans="1:22" x14ac:dyDescent="0.3">
      <c r="A118" s="1">
        <v>4371</v>
      </c>
      <c r="B118" s="3" t="s">
        <v>377</v>
      </c>
      <c r="C118" s="1" t="s">
        <v>313</v>
      </c>
      <c r="D118" s="1">
        <v>2021</v>
      </c>
      <c r="E118" s="1" t="s">
        <v>69</v>
      </c>
      <c r="F118" s="1" t="s">
        <v>70</v>
      </c>
      <c r="G118" s="1">
        <v>24</v>
      </c>
      <c r="H118" s="1">
        <v>30</v>
      </c>
      <c r="I118" s="1">
        <v>4.5</v>
      </c>
      <c r="J118" s="1">
        <v>7.8</v>
      </c>
      <c r="K118" s="1">
        <v>7</v>
      </c>
      <c r="L118" s="1">
        <v>8.1999999999999993</v>
      </c>
      <c r="M118" s="1">
        <v>5030</v>
      </c>
      <c r="N118" s="1">
        <v>51500</v>
      </c>
      <c r="O118" s="1">
        <v>1.5</v>
      </c>
      <c r="P118" s="1">
        <v>3.5</v>
      </c>
      <c r="Q118" s="1">
        <v>0.4</v>
      </c>
      <c r="R118" s="1">
        <v>2.2000000000000002</v>
      </c>
      <c r="S118" s="1">
        <v>4</v>
      </c>
      <c r="T118" s="1">
        <v>7</v>
      </c>
      <c r="U118" s="1">
        <v>64</v>
      </c>
      <c r="V118" s="1">
        <v>120</v>
      </c>
    </row>
    <row r="119" spans="1:22" x14ac:dyDescent="0.3">
      <c r="A119" s="1">
        <v>4378</v>
      </c>
      <c r="B119" s="1" t="s">
        <v>159</v>
      </c>
      <c r="C119" s="1" t="s">
        <v>160</v>
      </c>
      <c r="D119" s="1">
        <v>2021</v>
      </c>
      <c r="E119" s="1" t="s">
        <v>75</v>
      </c>
      <c r="F119" s="1" t="s">
        <v>70</v>
      </c>
      <c r="G119" s="1">
        <v>25</v>
      </c>
      <c r="H119" s="1">
        <v>30</v>
      </c>
      <c r="I119" s="1">
        <v>3.4</v>
      </c>
      <c r="J119" s="1">
        <v>5.3</v>
      </c>
      <c r="K119" s="1">
        <v>7</v>
      </c>
      <c r="L119" s="1">
        <v>7.8</v>
      </c>
      <c r="M119" s="1">
        <v>35800</v>
      </c>
      <c r="N119" s="1">
        <v>56900</v>
      </c>
      <c r="O119" s="1">
        <v>2</v>
      </c>
      <c r="P119" s="1">
        <v>2.8</v>
      </c>
      <c r="Q119" s="1">
        <v>0.8</v>
      </c>
      <c r="R119" s="1">
        <v>1.3</v>
      </c>
      <c r="S119" s="1">
        <v>3</v>
      </c>
      <c r="T119" s="1">
        <v>3</v>
      </c>
      <c r="U119" s="1">
        <v>43</v>
      </c>
      <c r="V119" s="1">
        <v>120</v>
      </c>
    </row>
    <row r="120" spans="1:22" x14ac:dyDescent="0.3">
      <c r="A120" s="1">
        <v>4383</v>
      </c>
      <c r="B120" s="2" t="s">
        <v>372</v>
      </c>
      <c r="C120" s="1" t="s">
        <v>366</v>
      </c>
      <c r="D120" s="1">
        <v>2021</v>
      </c>
      <c r="E120" s="1" t="s">
        <v>69</v>
      </c>
      <c r="F120" s="1" t="s">
        <v>70</v>
      </c>
      <c r="G120" s="1">
        <v>21</v>
      </c>
      <c r="H120" s="1">
        <v>25</v>
      </c>
      <c r="I120" s="1">
        <v>3.6</v>
      </c>
      <c r="J120" s="1">
        <v>5.3</v>
      </c>
      <c r="K120" s="1">
        <v>7.1</v>
      </c>
      <c r="L120" s="1">
        <v>8</v>
      </c>
      <c r="M120" s="1">
        <v>32900</v>
      </c>
      <c r="N120" s="1">
        <v>55700</v>
      </c>
      <c r="O120" s="1">
        <v>2</v>
      </c>
      <c r="P120" s="1">
        <v>2.8</v>
      </c>
      <c r="Q120" s="1">
        <v>0.9</v>
      </c>
      <c r="R120" s="1">
        <v>2.2999999999999998</v>
      </c>
      <c r="S120" s="1">
        <v>3</v>
      </c>
      <c r="T120" s="1">
        <v>3</v>
      </c>
      <c r="U120" s="1">
        <v>43</v>
      </c>
      <c r="V120" s="1">
        <v>120</v>
      </c>
    </row>
    <row r="121" spans="1:22" x14ac:dyDescent="0.3">
      <c r="A121" s="1">
        <v>4385</v>
      </c>
      <c r="B121" s="1" t="s">
        <v>84</v>
      </c>
      <c r="C121" s="1"/>
      <c r="D121" s="1">
        <v>2021</v>
      </c>
      <c r="E121" s="1" t="s">
        <v>75</v>
      </c>
      <c r="F121" s="1" t="s">
        <v>70</v>
      </c>
      <c r="G121" s="1">
        <v>22</v>
      </c>
      <c r="H121" s="1">
        <v>25</v>
      </c>
      <c r="I121" s="1">
        <v>3.6</v>
      </c>
      <c r="J121" s="1">
        <v>5.9</v>
      </c>
      <c r="K121" s="1">
        <v>7.1</v>
      </c>
      <c r="L121" s="1">
        <v>8</v>
      </c>
      <c r="M121" s="1">
        <v>34900</v>
      </c>
      <c r="N121" s="1">
        <v>56200</v>
      </c>
      <c r="O121" s="1">
        <v>2.2000000000000002</v>
      </c>
      <c r="P121" s="1">
        <v>2.8</v>
      </c>
      <c r="Q121" s="1">
        <v>0.8</v>
      </c>
      <c r="R121" s="1">
        <v>1.4</v>
      </c>
      <c r="S121" s="1">
        <v>3</v>
      </c>
      <c r="T121" s="1">
        <v>3</v>
      </c>
      <c r="U121" s="1">
        <v>23</v>
      </c>
      <c r="V121" s="1">
        <v>93</v>
      </c>
    </row>
    <row r="122" spans="1:22" x14ac:dyDescent="0.3">
      <c r="A122" s="1">
        <v>4386</v>
      </c>
      <c r="B122" s="1" t="s">
        <v>162</v>
      </c>
      <c r="C122" s="1" t="s">
        <v>86</v>
      </c>
      <c r="D122" s="1">
        <v>2021</v>
      </c>
      <c r="E122" s="1" t="s">
        <v>75</v>
      </c>
      <c r="F122" s="1" t="s">
        <v>70</v>
      </c>
      <c r="G122" s="1">
        <v>22</v>
      </c>
      <c r="H122" s="1">
        <v>25</v>
      </c>
      <c r="I122" s="1">
        <v>3.5</v>
      </c>
      <c r="J122" s="1">
        <v>5.7</v>
      </c>
      <c r="K122" s="1">
        <v>6.8</v>
      </c>
      <c r="L122" s="1">
        <v>8</v>
      </c>
      <c r="M122" s="1">
        <v>35600</v>
      </c>
      <c r="N122" s="1">
        <v>56400</v>
      </c>
      <c r="O122" s="1">
        <v>2.4</v>
      </c>
      <c r="P122" s="1">
        <v>2.8</v>
      </c>
      <c r="Q122" s="1">
        <v>0.8</v>
      </c>
      <c r="R122" s="1">
        <v>1.6</v>
      </c>
      <c r="S122" s="1">
        <v>3</v>
      </c>
      <c r="T122" s="1">
        <v>3</v>
      </c>
      <c r="U122" s="1">
        <v>23</v>
      </c>
      <c r="V122" s="1">
        <v>120</v>
      </c>
    </row>
    <row r="123" spans="1:22" x14ac:dyDescent="0.3">
      <c r="A123" s="1">
        <v>4387</v>
      </c>
      <c r="B123" s="3" t="s">
        <v>367</v>
      </c>
      <c r="C123" s="1" t="s">
        <v>314</v>
      </c>
      <c r="D123" s="1">
        <v>2021</v>
      </c>
      <c r="E123" s="1" t="s">
        <v>69</v>
      </c>
      <c r="F123" s="1" t="s">
        <v>70</v>
      </c>
      <c r="G123" s="1">
        <v>18</v>
      </c>
      <c r="H123" s="1">
        <v>23</v>
      </c>
      <c r="I123" s="1">
        <v>3.7</v>
      </c>
      <c r="J123" s="1">
        <v>5.6</v>
      </c>
      <c r="K123" s="1">
        <v>7.1</v>
      </c>
      <c r="L123" s="1">
        <v>8</v>
      </c>
      <c r="M123" s="1">
        <v>34900</v>
      </c>
      <c r="N123" s="1">
        <v>55700</v>
      </c>
      <c r="O123" s="1">
        <v>2.4</v>
      </c>
      <c r="P123" s="1">
        <v>2.8</v>
      </c>
      <c r="Q123" s="1">
        <v>1</v>
      </c>
      <c r="R123" s="1">
        <v>1.3</v>
      </c>
      <c r="S123" s="1">
        <v>3</v>
      </c>
      <c r="T123" s="1">
        <v>3</v>
      </c>
      <c r="U123" s="1">
        <v>23</v>
      </c>
      <c r="V123" s="1">
        <v>120</v>
      </c>
    </row>
    <row r="124" spans="1:22" x14ac:dyDescent="0.3">
      <c r="A124" s="1">
        <v>2267</v>
      </c>
      <c r="B124" s="1" t="s">
        <v>315</v>
      </c>
      <c r="C124" s="1" t="s">
        <v>326</v>
      </c>
      <c r="D124" s="1">
        <v>2021</v>
      </c>
      <c r="E124" s="1" t="s">
        <v>164</v>
      </c>
      <c r="F124" s="1" t="s">
        <v>89</v>
      </c>
      <c r="G124" s="1">
        <v>25</v>
      </c>
      <c r="H124" s="1">
        <v>32</v>
      </c>
      <c r="I124" s="1">
        <v>4.2</v>
      </c>
      <c r="J124" s="1">
        <v>8</v>
      </c>
      <c r="K124" s="1">
        <v>6.6</v>
      </c>
      <c r="L124" s="1">
        <v>7.7</v>
      </c>
      <c r="M124" s="1">
        <v>311</v>
      </c>
      <c r="N124" s="1">
        <v>51530</v>
      </c>
      <c r="O124" s="4">
        <v>1.73</v>
      </c>
      <c r="P124" s="1">
        <v>2.4</v>
      </c>
      <c r="Q124" s="1">
        <v>0.3</v>
      </c>
      <c r="R124" s="1">
        <v>3.8</v>
      </c>
      <c r="S124" s="1">
        <v>230</v>
      </c>
      <c r="T124" s="1">
        <v>2300</v>
      </c>
      <c r="U124" s="1">
        <v>1100</v>
      </c>
      <c r="V124" s="1">
        <v>4900</v>
      </c>
    </row>
    <row r="125" spans="1:22" x14ac:dyDescent="0.3">
      <c r="A125" s="1">
        <v>4013</v>
      </c>
      <c r="B125" s="1" t="s">
        <v>88</v>
      </c>
      <c r="C125" s="1"/>
      <c r="D125" s="1">
        <v>2021</v>
      </c>
      <c r="E125" s="1" t="s">
        <v>75</v>
      </c>
      <c r="F125" s="1" t="s">
        <v>89</v>
      </c>
      <c r="G125" s="1">
        <v>27</v>
      </c>
      <c r="H125" s="1">
        <v>31</v>
      </c>
      <c r="I125" s="1">
        <v>6.4</v>
      </c>
      <c r="J125" s="1">
        <v>7.7</v>
      </c>
      <c r="K125" s="1">
        <v>7.6</v>
      </c>
      <c r="L125" s="1">
        <v>8.1999999999999993</v>
      </c>
      <c r="M125" s="1">
        <v>26000</v>
      </c>
      <c r="N125" s="1">
        <v>61900</v>
      </c>
      <c r="O125" s="4">
        <v>1.73</v>
      </c>
      <c r="P125" s="1">
        <v>1.9</v>
      </c>
      <c r="Q125" s="1">
        <v>0.3</v>
      </c>
      <c r="R125" s="1">
        <v>0.5</v>
      </c>
      <c r="S125" s="1">
        <v>13</v>
      </c>
      <c r="T125" s="1">
        <v>240</v>
      </c>
      <c r="U125" s="1">
        <v>49</v>
      </c>
      <c r="V125" s="1">
        <v>920</v>
      </c>
    </row>
    <row r="126" spans="1:22" x14ac:dyDescent="0.3">
      <c r="A126" s="1">
        <v>4014</v>
      </c>
      <c r="B126" s="1" t="s">
        <v>90</v>
      </c>
      <c r="C126" s="1"/>
      <c r="D126" s="1">
        <v>2021</v>
      </c>
      <c r="E126" s="1" t="s">
        <v>75</v>
      </c>
      <c r="F126" s="1" t="s">
        <v>89</v>
      </c>
      <c r="G126" s="1">
        <v>27</v>
      </c>
      <c r="H126" s="1">
        <v>29</v>
      </c>
      <c r="I126" s="1">
        <v>6</v>
      </c>
      <c r="J126" s="1">
        <v>7.5</v>
      </c>
      <c r="K126" s="1">
        <v>7</v>
      </c>
      <c r="L126" s="1">
        <v>8</v>
      </c>
      <c r="M126" s="1">
        <v>18900</v>
      </c>
      <c r="N126" s="1">
        <v>57680</v>
      </c>
      <c r="O126" s="4">
        <v>1.73</v>
      </c>
      <c r="P126" s="1">
        <v>2</v>
      </c>
      <c r="Q126" s="1">
        <v>0.3</v>
      </c>
      <c r="R126" s="1">
        <v>0.8</v>
      </c>
      <c r="S126" s="1">
        <v>23</v>
      </c>
      <c r="T126" s="1">
        <v>240</v>
      </c>
      <c r="U126" s="1">
        <v>33</v>
      </c>
      <c r="V126" s="1">
        <v>350</v>
      </c>
    </row>
    <row r="127" spans="1:22" x14ac:dyDescent="0.3">
      <c r="A127" s="1">
        <v>4015</v>
      </c>
      <c r="B127" s="1" t="s">
        <v>91</v>
      </c>
      <c r="C127" s="1"/>
      <c r="D127" s="1">
        <v>2021</v>
      </c>
      <c r="E127" s="1" t="s">
        <v>75</v>
      </c>
      <c r="F127" s="1" t="s">
        <v>89</v>
      </c>
      <c r="G127" s="1">
        <v>27</v>
      </c>
      <c r="H127" s="1">
        <v>30</v>
      </c>
      <c r="I127" s="1">
        <v>6.1</v>
      </c>
      <c r="J127" s="1">
        <v>7</v>
      </c>
      <c r="K127" s="1">
        <v>6.5</v>
      </c>
      <c r="L127" s="1">
        <v>7.9</v>
      </c>
      <c r="M127" s="1">
        <v>31300</v>
      </c>
      <c r="N127" s="1">
        <v>61250</v>
      </c>
      <c r="O127" s="1">
        <v>1.1000000000000001</v>
      </c>
      <c r="P127" s="1">
        <v>1.9</v>
      </c>
      <c r="Q127" s="1">
        <v>0.3</v>
      </c>
      <c r="R127" s="1">
        <v>0.3</v>
      </c>
      <c r="S127" s="1">
        <v>22</v>
      </c>
      <c r="T127" s="1">
        <v>220</v>
      </c>
      <c r="U127" s="1">
        <v>130</v>
      </c>
      <c r="V127" s="1">
        <v>280</v>
      </c>
    </row>
    <row r="128" spans="1:22" x14ac:dyDescent="0.3">
      <c r="A128" s="1">
        <v>4016</v>
      </c>
      <c r="B128" s="1" t="s">
        <v>92</v>
      </c>
      <c r="C128" s="1"/>
      <c r="D128" s="1">
        <v>2021</v>
      </c>
      <c r="E128" s="1" t="s">
        <v>75</v>
      </c>
      <c r="F128" s="1" t="s">
        <v>89</v>
      </c>
      <c r="G128" s="1">
        <v>28</v>
      </c>
      <c r="H128" s="1">
        <v>31</v>
      </c>
      <c r="I128" s="1">
        <v>6</v>
      </c>
      <c r="J128" s="1">
        <v>7.7</v>
      </c>
      <c r="K128" s="1">
        <v>7.7</v>
      </c>
      <c r="L128" s="1">
        <v>8.3000000000000007</v>
      </c>
      <c r="M128" s="1">
        <v>25800</v>
      </c>
      <c r="N128" s="1">
        <v>58830</v>
      </c>
      <c r="O128" s="4">
        <v>1.73</v>
      </c>
      <c r="P128" s="1">
        <v>1.9</v>
      </c>
      <c r="Q128" s="1">
        <v>0.3</v>
      </c>
      <c r="R128" s="1">
        <v>2.4</v>
      </c>
      <c r="S128" s="1">
        <v>13</v>
      </c>
      <c r="T128" s="1">
        <v>350</v>
      </c>
      <c r="U128" s="1">
        <v>23</v>
      </c>
      <c r="V128" s="1">
        <v>920</v>
      </c>
    </row>
    <row r="129" spans="1:22" x14ac:dyDescent="0.3">
      <c r="A129" s="1">
        <v>4017</v>
      </c>
      <c r="B129" s="1" t="s">
        <v>165</v>
      </c>
      <c r="C129" s="1"/>
      <c r="D129" s="1">
        <v>2021</v>
      </c>
      <c r="E129" s="1" t="s">
        <v>75</v>
      </c>
      <c r="F129" s="1" t="s">
        <v>89</v>
      </c>
      <c r="G129" s="1">
        <v>27</v>
      </c>
      <c r="H129" s="1">
        <v>32</v>
      </c>
      <c r="I129" s="1">
        <v>5.8</v>
      </c>
      <c r="J129" s="1">
        <v>7.1</v>
      </c>
      <c r="K129" s="1">
        <v>6.7</v>
      </c>
      <c r="L129" s="1">
        <v>7.8</v>
      </c>
      <c r="M129" s="1">
        <v>26000</v>
      </c>
      <c r="N129" s="1">
        <v>57880</v>
      </c>
      <c r="O129" s="4">
        <v>1.73</v>
      </c>
      <c r="P129" s="1">
        <v>1.9</v>
      </c>
      <c r="Q129" s="1">
        <v>0.3</v>
      </c>
      <c r="R129" s="1">
        <v>0.8</v>
      </c>
      <c r="S129" s="1">
        <v>22</v>
      </c>
      <c r="T129" s="1">
        <v>240</v>
      </c>
      <c r="U129" s="1">
        <v>33</v>
      </c>
      <c r="V129" s="1">
        <v>540</v>
      </c>
    </row>
    <row r="130" spans="1:22" x14ac:dyDescent="0.3">
      <c r="A130" s="1">
        <v>2354</v>
      </c>
      <c r="B130" s="3" t="s">
        <v>246</v>
      </c>
      <c r="C130" s="1" t="s">
        <v>316</v>
      </c>
      <c r="D130" s="1">
        <v>2021</v>
      </c>
      <c r="E130" s="1" t="s">
        <v>94</v>
      </c>
      <c r="F130" s="1" t="s">
        <v>70</v>
      </c>
      <c r="G130" s="1">
        <v>22</v>
      </c>
      <c r="H130" s="1">
        <v>29</v>
      </c>
      <c r="I130" s="1">
        <v>2.8</v>
      </c>
      <c r="J130" s="1">
        <v>6</v>
      </c>
      <c r="K130" s="1">
        <v>6.8</v>
      </c>
      <c r="L130" s="1">
        <v>8.6</v>
      </c>
      <c r="M130" s="1">
        <v>220</v>
      </c>
      <c r="N130" s="1">
        <v>518</v>
      </c>
      <c r="O130" s="1">
        <v>2</v>
      </c>
      <c r="P130" s="1">
        <v>3.8</v>
      </c>
      <c r="Q130" s="1">
        <v>0.7</v>
      </c>
      <c r="R130" s="1">
        <v>2.2999999999999998</v>
      </c>
      <c r="S130" s="1">
        <v>11</v>
      </c>
      <c r="T130" s="1">
        <v>21</v>
      </c>
      <c r="U130" s="1">
        <v>120</v>
      </c>
      <c r="V130" s="1">
        <v>210</v>
      </c>
    </row>
    <row r="131" spans="1:22" x14ac:dyDescent="0.3">
      <c r="A131" s="1">
        <v>2355</v>
      </c>
      <c r="B131" s="2" t="s">
        <v>317</v>
      </c>
      <c r="C131" s="1" t="s">
        <v>316</v>
      </c>
      <c r="D131" s="1">
        <v>2021</v>
      </c>
      <c r="E131" s="1" t="s">
        <v>94</v>
      </c>
      <c r="F131" s="1" t="s">
        <v>70</v>
      </c>
      <c r="G131" s="1">
        <v>24</v>
      </c>
      <c r="H131" s="1">
        <v>30</v>
      </c>
      <c r="I131" s="1">
        <v>1.8</v>
      </c>
      <c r="J131" s="1">
        <v>6.5</v>
      </c>
      <c r="K131" s="1">
        <v>6.6</v>
      </c>
      <c r="L131" s="1">
        <v>8</v>
      </c>
      <c r="M131" s="1">
        <v>725</v>
      </c>
      <c r="N131" s="1">
        <v>25200</v>
      </c>
      <c r="O131" s="1">
        <v>3.8</v>
      </c>
      <c r="P131" s="1">
        <v>5.2</v>
      </c>
      <c r="Q131" s="1">
        <v>0.8</v>
      </c>
      <c r="R131" s="1">
        <v>3.9</v>
      </c>
      <c r="S131" s="1">
        <v>21</v>
      </c>
      <c r="T131" s="1">
        <v>28</v>
      </c>
      <c r="U131" s="1">
        <v>210</v>
      </c>
      <c r="V131" s="1">
        <v>460</v>
      </c>
    </row>
    <row r="132" spans="1:22" x14ac:dyDescent="0.3">
      <c r="A132" s="1">
        <v>3051</v>
      </c>
      <c r="B132" s="3" t="s">
        <v>239</v>
      </c>
      <c r="C132" s="1" t="s">
        <v>318</v>
      </c>
      <c r="D132" s="1">
        <v>2021</v>
      </c>
      <c r="E132" s="1" t="s">
        <v>94</v>
      </c>
      <c r="F132" s="1" t="s">
        <v>70</v>
      </c>
      <c r="G132" s="1">
        <v>24</v>
      </c>
      <c r="H132" s="1">
        <v>26</v>
      </c>
      <c r="I132" s="1">
        <v>5.4</v>
      </c>
      <c r="J132" s="1">
        <v>6.6</v>
      </c>
      <c r="K132" s="1">
        <v>7.2</v>
      </c>
      <c r="L132" s="1">
        <v>7.9</v>
      </c>
      <c r="M132" s="1">
        <v>1070</v>
      </c>
      <c r="N132" s="1">
        <v>1730</v>
      </c>
      <c r="O132" s="1">
        <v>3.2</v>
      </c>
      <c r="P132" s="1">
        <v>6</v>
      </c>
      <c r="Q132" s="1">
        <v>1.4</v>
      </c>
      <c r="R132" s="1">
        <v>3.1</v>
      </c>
      <c r="S132" s="1">
        <v>3</v>
      </c>
      <c r="T132" s="1">
        <v>3</v>
      </c>
      <c r="U132" s="1">
        <v>460</v>
      </c>
      <c r="V132" s="1">
        <v>470</v>
      </c>
    </row>
    <row r="133" spans="1:22" x14ac:dyDescent="0.3">
      <c r="A133" s="1">
        <v>4356</v>
      </c>
      <c r="B133" s="2" t="s">
        <v>241</v>
      </c>
      <c r="C133" s="1" t="s">
        <v>242</v>
      </c>
      <c r="D133" s="1">
        <v>2021</v>
      </c>
      <c r="E133" s="1" t="s">
        <v>94</v>
      </c>
      <c r="F133" s="1" t="s">
        <v>70</v>
      </c>
      <c r="G133" s="1">
        <v>25</v>
      </c>
      <c r="H133" s="1">
        <v>29</v>
      </c>
      <c r="I133" s="1">
        <v>5.5</v>
      </c>
      <c r="J133" s="1">
        <v>8</v>
      </c>
      <c r="K133" s="1">
        <v>6.7</v>
      </c>
      <c r="L133" s="1">
        <v>7.9</v>
      </c>
      <c r="M133" s="1">
        <v>198</v>
      </c>
      <c r="N133" s="1">
        <v>390</v>
      </c>
      <c r="O133" s="1">
        <v>1.4</v>
      </c>
      <c r="P133" s="1">
        <v>2.2000000000000002</v>
      </c>
      <c r="Q133" s="1">
        <v>0.3</v>
      </c>
      <c r="R133" s="1">
        <v>1.6</v>
      </c>
      <c r="S133" s="1">
        <v>7</v>
      </c>
      <c r="T133" s="1">
        <v>9</v>
      </c>
      <c r="U133" s="1">
        <v>93</v>
      </c>
      <c r="V133" s="1">
        <v>120</v>
      </c>
    </row>
    <row r="134" spans="1:22" x14ac:dyDescent="0.3">
      <c r="A134" s="1">
        <v>4370</v>
      </c>
      <c r="B134" s="3" t="s">
        <v>244</v>
      </c>
      <c r="C134" s="1" t="s">
        <v>319</v>
      </c>
      <c r="D134" s="1">
        <v>2021</v>
      </c>
      <c r="E134" s="1" t="s">
        <v>94</v>
      </c>
      <c r="F134" s="1" t="s">
        <v>70</v>
      </c>
      <c r="G134" s="1">
        <v>22</v>
      </c>
      <c r="H134" s="1">
        <v>28</v>
      </c>
      <c r="I134" s="1">
        <v>2.2999999999999998</v>
      </c>
      <c r="J134" s="1">
        <v>6.5</v>
      </c>
      <c r="K134" s="1">
        <v>7.1</v>
      </c>
      <c r="L134" s="1">
        <v>7.7</v>
      </c>
      <c r="M134" s="1">
        <v>389</v>
      </c>
      <c r="N134" s="1">
        <v>968</v>
      </c>
      <c r="O134" s="1">
        <v>1.6</v>
      </c>
      <c r="P134" s="1">
        <v>4.2</v>
      </c>
      <c r="Q134" s="1">
        <v>0.8</v>
      </c>
      <c r="R134" s="1">
        <v>2</v>
      </c>
      <c r="S134" s="1">
        <v>11</v>
      </c>
      <c r="T134" s="1">
        <v>21</v>
      </c>
      <c r="U134" s="1">
        <v>150</v>
      </c>
      <c r="V134" s="1">
        <v>240</v>
      </c>
    </row>
    <row r="135" spans="1:22" x14ac:dyDescent="0.3">
      <c r="A135" s="1">
        <v>4374</v>
      </c>
      <c r="B135" s="2" t="s">
        <v>248</v>
      </c>
      <c r="C135" s="1" t="s">
        <v>320</v>
      </c>
      <c r="D135" s="1">
        <v>2021</v>
      </c>
      <c r="E135" s="1" t="s">
        <v>94</v>
      </c>
      <c r="F135" s="1" t="s">
        <v>70</v>
      </c>
      <c r="G135" s="1">
        <v>23</v>
      </c>
      <c r="H135" s="1">
        <v>27</v>
      </c>
      <c r="I135" s="1">
        <v>2.2000000000000002</v>
      </c>
      <c r="J135" s="1">
        <v>8.5</v>
      </c>
      <c r="K135" s="1">
        <v>7</v>
      </c>
      <c r="L135" s="1">
        <v>8.1</v>
      </c>
      <c r="M135" s="1">
        <v>250</v>
      </c>
      <c r="N135" s="1">
        <v>1120</v>
      </c>
      <c r="O135" s="1">
        <v>1.3</v>
      </c>
      <c r="P135" s="1">
        <v>3.8</v>
      </c>
      <c r="Q135" s="1">
        <v>0.8</v>
      </c>
      <c r="R135" s="1">
        <v>2.2999999999999998</v>
      </c>
      <c r="S135" s="1">
        <v>9</v>
      </c>
      <c r="T135" s="1">
        <v>154</v>
      </c>
      <c r="U135" s="1">
        <v>120</v>
      </c>
      <c r="V135" s="1">
        <v>240</v>
      </c>
    </row>
    <row r="136" spans="1:22" x14ac:dyDescent="0.3">
      <c r="A136" s="1">
        <v>2057</v>
      </c>
      <c r="B136" s="3" t="s">
        <v>250</v>
      </c>
      <c r="C136" s="1" t="s">
        <v>251</v>
      </c>
      <c r="D136" s="1">
        <v>2021</v>
      </c>
      <c r="E136" s="1" t="s">
        <v>94</v>
      </c>
      <c r="F136" s="1" t="s">
        <v>100</v>
      </c>
      <c r="G136" s="1">
        <v>17</v>
      </c>
      <c r="H136" s="1">
        <v>27</v>
      </c>
      <c r="I136" s="1" t="s">
        <v>38</v>
      </c>
      <c r="J136" s="1">
        <v>1.4</v>
      </c>
      <c r="K136" s="1">
        <v>7.1</v>
      </c>
      <c r="L136" s="1">
        <v>7.8</v>
      </c>
      <c r="M136" s="1">
        <v>1015</v>
      </c>
      <c r="N136" s="1">
        <v>1731</v>
      </c>
      <c r="O136" s="1">
        <v>26</v>
      </c>
      <c r="P136" s="1">
        <v>77</v>
      </c>
      <c r="Q136" s="1">
        <v>0.6</v>
      </c>
      <c r="R136" s="1">
        <v>1.1000000000000001</v>
      </c>
      <c r="S136" s="1">
        <v>49000</v>
      </c>
      <c r="T136" s="1">
        <v>14000000</v>
      </c>
      <c r="U136" s="1">
        <v>790000</v>
      </c>
      <c r="V136" s="1">
        <v>14000000</v>
      </c>
    </row>
    <row r="137" spans="1:22" x14ac:dyDescent="0.3">
      <c r="A137" s="1">
        <v>2265</v>
      </c>
      <c r="B137" s="2" t="s">
        <v>254</v>
      </c>
      <c r="C137" s="1" t="s">
        <v>255</v>
      </c>
      <c r="D137" s="1">
        <v>2021</v>
      </c>
      <c r="E137" s="1" t="s">
        <v>94</v>
      </c>
      <c r="F137" s="1" t="s">
        <v>89</v>
      </c>
      <c r="G137" s="1">
        <v>27</v>
      </c>
      <c r="H137" s="1">
        <v>31</v>
      </c>
      <c r="I137" s="1">
        <v>5</v>
      </c>
      <c r="J137" s="1">
        <v>8.1</v>
      </c>
      <c r="K137" s="1">
        <v>6.1</v>
      </c>
      <c r="L137" s="1">
        <v>7.9</v>
      </c>
      <c r="M137" s="1">
        <v>60</v>
      </c>
      <c r="N137" s="1">
        <v>410</v>
      </c>
      <c r="O137" s="4">
        <v>1.73</v>
      </c>
      <c r="P137" s="1">
        <v>2.8</v>
      </c>
      <c r="Q137" s="1">
        <v>0.3</v>
      </c>
      <c r="R137" s="1">
        <v>1.6</v>
      </c>
      <c r="S137" s="1">
        <v>790</v>
      </c>
      <c r="T137" s="1">
        <v>2300</v>
      </c>
      <c r="U137" s="1">
        <v>1300</v>
      </c>
      <c r="V137" s="1">
        <v>3300</v>
      </c>
    </row>
    <row r="138" spans="1:22" x14ac:dyDescent="0.3">
      <c r="A138" s="1">
        <v>2266</v>
      </c>
      <c r="B138" s="3" t="s">
        <v>256</v>
      </c>
      <c r="C138" s="1" t="s">
        <v>257</v>
      </c>
      <c r="D138" s="1">
        <v>2021</v>
      </c>
      <c r="E138" s="1" t="s">
        <v>94</v>
      </c>
      <c r="F138" s="1" t="s">
        <v>89</v>
      </c>
      <c r="G138" s="1">
        <v>27</v>
      </c>
      <c r="H138" s="1">
        <v>31</v>
      </c>
      <c r="I138" s="1">
        <v>4.5</v>
      </c>
      <c r="J138" s="1">
        <v>8</v>
      </c>
      <c r="K138" s="1">
        <v>6.4</v>
      </c>
      <c r="L138" s="1">
        <v>7.8</v>
      </c>
      <c r="M138" s="1">
        <v>52</v>
      </c>
      <c r="N138" s="1">
        <v>406</v>
      </c>
      <c r="O138" s="4">
        <v>1.73</v>
      </c>
      <c r="P138" s="1">
        <v>2.1</v>
      </c>
      <c r="Q138" s="1">
        <v>0.3</v>
      </c>
      <c r="R138" s="1">
        <v>1.5</v>
      </c>
      <c r="S138" s="1">
        <v>1300</v>
      </c>
      <c r="T138" s="1">
        <v>3300</v>
      </c>
      <c r="U138" s="1">
        <v>1700</v>
      </c>
      <c r="V138" s="1">
        <v>4900</v>
      </c>
    </row>
    <row r="139" spans="1:22" x14ac:dyDescent="0.3">
      <c r="A139" s="1">
        <v>2268</v>
      </c>
      <c r="B139" s="2" t="s">
        <v>258</v>
      </c>
      <c r="C139" s="1" t="s">
        <v>259</v>
      </c>
      <c r="D139" s="1">
        <v>2021</v>
      </c>
      <c r="E139" s="1" t="s">
        <v>94</v>
      </c>
      <c r="F139" s="1" t="s">
        <v>89</v>
      </c>
      <c r="G139" s="1">
        <v>27</v>
      </c>
      <c r="H139" s="1">
        <v>31</v>
      </c>
      <c r="I139" s="1">
        <v>4.2</v>
      </c>
      <c r="J139" s="1">
        <v>8.1</v>
      </c>
      <c r="K139" s="1">
        <v>6.1</v>
      </c>
      <c r="L139" s="1">
        <v>7.7</v>
      </c>
      <c r="M139" s="1">
        <v>118</v>
      </c>
      <c r="N139" s="1">
        <v>46570</v>
      </c>
      <c r="O139" s="1">
        <v>1.2</v>
      </c>
      <c r="P139" s="1">
        <v>2</v>
      </c>
      <c r="Q139" s="1">
        <v>0.3</v>
      </c>
      <c r="R139" s="1">
        <v>0.6</v>
      </c>
      <c r="S139" s="1">
        <v>780</v>
      </c>
      <c r="T139" s="1">
        <v>2200</v>
      </c>
      <c r="U139" s="1">
        <v>1300</v>
      </c>
      <c r="V139" s="1">
        <v>4900</v>
      </c>
    </row>
    <row r="140" spans="1:22" x14ac:dyDescent="0.3">
      <c r="A140" s="1">
        <v>2073</v>
      </c>
      <c r="B140" s="3" t="s">
        <v>260</v>
      </c>
      <c r="C140" s="1" t="s">
        <v>321</v>
      </c>
      <c r="D140" s="1">
        <v>2021</v>
      </c>
      <c r="E140" s="1" t="s">
        <v>94</v>
      </c>
      <c r="F140" s="1" t="s">
        <v>106</v>
      </c>
      <c r="G140" s="1">
        <v>26</v>
      </c>
      <c r="H140" s="1">
        <v>30</v>
      </c>
      <c r="I140" s="1">
        <v>4.5999999999999996</v>
      </c>
      <c r="J140" s="1">
        <v>7.3</v>
      </c>
      <c r="K140" s="1">
        <v>7.6</v>
      </c>
      <c r="L140" s="1">
        <v>8.1</v>
      </c>
      <c r="M140" s="1">
        <v>429</v>
      </c>
      <c r="N140" s="1">
        <v>322</v>
      </c>
      <c r="O140" s="4">
        <v>1.73</v>
      </c>
      <c r="P140" s="1">
        <v>1.1000000000000001</v>
      </c>
      <c r="Q140" s="1" t="s">
        <v>38</v>
      </c>
      <c r="R140" s="1">
        <v>2.1</v>
      </c>
      <c r="S140" s="1" t="s">
        <v>38</v>
      </c>
      <c r="T140" s="1">
        <v>4</v>
      </c>
      <c r="U140" s="1">
        <v>6</v>
      </c>
      <c r="V140" s="1">
        <v>47</v>
      </c>
    </row>
    <row r="141" spans="1:22" x14ac:dyDescent="0.3">
      <c r="A141" s="1">
        <v>2074</v>
      </c>
      <c r="B141" s="2" t="s">
        <v>322</v>
      </c>
      <c r="C141" s="1" t="s">
        <v>323</v>
      </c>
      <c r="D141" s="1">
        <v>2021</v>
      </c>
      <c r="E141" s="1" t="s">
        <v>94</v>
      </c>
      <c r="F141" s="1" t="s">
        <v>106</v>
      </c>
      <c r="G141" s="1">
        <v>25</v>
      </c>
      <c r="H141" s="1">
        <v>37</v>
      </c>
      <c r="I141" s="1">
        <v>6.6</v>
      </c>
      <c r="J141" s="1">
        <v>8.9</v>
      </c>
      <c r="K141" s="1">
        <v>7.8</v>
      </c>
      <c r="L141" s="1">
        <v>8.5</v>
      </c>
      <c r="M141" s="1">
        <v>317</v>
      </c>
      <c r="N141" s="1">
        <v>808</v>
      </c>
      <c r="O141" s="4">
        <v>1.73</v>
      </c>
      <c r="P141" s="4">
        <v>2.6</v>
      </c>
      <c r="Q141" s="1" t="s">
        <v>38</v>
      </c>
      <c r="R141" s="1">
        <v>0.5</v>
      </c>
      <c r="S141" s="1">
        <v>2</v>
      </c>
      <c r="T141" s="1">
        <v>49</v>
      </c>
      <c r="U141" s="1">
        <v>20</v>
      </c>
      <c r="V141" s="1">
        <v>170</v>
      </c>
    </row>
    <row r="142" spans="1:22" x14ac:dyDescent="0.3">
      <c r="A142" s="1">
        <v>4421</v>
      </c>
      <c r="B142" s="3" t="s">
        <v>324</v>
      </c>
      <c r="C142" s="1" t="s">
        <v>325</v>
      </c>
      <c r="D142" s="1">
        <v>2021</v>
      </c>
      <c r="E142" s="1" t="s">
        <v>94</v>
      </c>
      <c r="F142" s="1" t="s">
        <v>106</v>
      </c>
      <c r="G142" s="1">
        <v>21</v>
      </c>
      <c r="H142" s="1">
        <v>29</v>
      </c>
      <c r="I142" s="1">
        <v>6.8</v>
      </c>
      <c r="J142" s="1">
        <v>8.3000000000000007</v>
      </c>
      <c r="K142" s="1">
        <v>7</v>
      </c>
      <c r="L142" s="1">
        <v>8.4</v>
      </c>
      <c r="M142" s="1">
        <v>291</v>
      </c>
      <c r="N142" s="1">
        <v>563</v>
      </c>
      <c r="O142" s="4">
        <v>1.73</v>
      </c>
      <c r="P142" s="4">
        <v>2.6</v>
      </c>
      <c r="Q142" s="1">
        <v>0.3</v>
      </c>
      <c r="R142" s="1">
        <v>0.3</v>
      </c>
      <c r="S142" s="1" t="s">
        <v>38</v>
      </c>
      <c r="T142" s="1">
        <v>7.8</v>
      </c>
      <c r="U142" s="1">
        <v>21</v>
      </c>
      <c r="V142" s="1">
        <v>70</v>
      </c>
    </row>
    <row r="143" spans="1:22" x14ac:dyDescent="0.3">
      <c r="A143" s="1">
        <v>1013</v>
      </c>
      <c r="B143" s="2" t="s">
        <v>410</v>
      </c>
      <c r="C143" s="1" t="s">
        <v>454</v>
      </c>
      <c r="D143" s="1">
        <v>2021</v>
      </c>
      <c r="E143" s="1" t="s">
        <v>25</v>
      </c>
      <c r="F143" s="1" t="s">
        <v>40</v>
      </c>
      <c r="G143" s="1">
        <v>8.5</v>
      </c>
      <c r="H143" s="1">
        <v>15</v>
      </c>
      <c r="I143" s="1">
        <v>8.5</v>
      </c>
      <c r="J143" s="1">
        <v>9</v>
      </c>
      <c r="K143" s="1">
        <v>7.3</v>
      </c>
      <c r="L143" s="1">
        <v>8.1999999999999993</v>
      </c>
      <c r="M143" s="1">
        <v>1229</v>
      </c>
      <c r="N143" s="1">
        <v>3096</v>
      </c>
      <c r="O143" s="1">
        <v>1</v>
      </c>
      <c r="P143" s="1">
        <v>1</v>
      </c>
      <c r="Q143" s="1">
        <v>0.32</v>
      </c>
      <c r="R143" s="1">
        <v>1.34</v>
      </c>
      <c r="S143" s="1">
        <v>350</v>
      </c>
      <c r="T143" s="1">
        <v>920</v>
      </c>
      <c r="U143" s="1">
        <v>2</v>
      </c>
      <c r="V143" s="1">
        <v>12</v>
      </c>
    </row>
    <row r="144" spans="1:22" x14ac:dyDescent="0.3">
      <c r="A144" s="1">
        <v>4446</v>
      </c>
      <c r="B144" s="3" t="s">
        <v>411</v>
      </c>
      <c r="C144" s="1" t="s">
        <v>366</v>
      </c>
      <c r="D144" s="1">
        <v>2021</v>
      </c>
      <c r="E144" s="1" t="s">
        <v>25</v>
      </c>
      <c r="F144" s="1" t="s">
        <v>40</v>
      </c>
      <c r="G144" s="1">
        <v>8.6</v>
      </c>
      <c r="H144" s="1">
        <v>14.5</v>
      </c>
      <c r="I144" s="1">
        <v>8.6</v>
      </c>
      <c r="J144" s="1">
        <v>9.4</v>
      </c>
      <c r="K144" s="1">
        <v>7.5</v>
      </c>
      <c r="L144" s="1">
        <v>8.5</v>
      </c>
      <c r="M144" s="1">
        <v>1149</v>
      </c>
      <c r="N144" s="1">
        <v>3721</v>
      </c>
      <c r="O144" s="1">
        <v>1</v>
      </c>
      <c r="P144" s="1">
        <v>1</v>
      </c>
      <c r="Q144" s="1">
        <v>0.32</v>
      </c>
      <c r="R144" s="1">
        <v>1.92</v>
      </c>
      <c r="S144" s="1">
        <v>1600</v>
      </c>
      <c r="T144" s="1">
        <v>350</v>
      </c>
      <c r="U144" s="1">
        <v>2</v>
      </c>
      <c r="V144" s="1">
        <v>94</v>
      </c>
    </row>
    <row r="145" spans="1:22" x14ac:dyDescent="0.3">
      <c r="A145" s="1">
        <v>4447</v>
      </c>
      <c r="B145" s="2" t="s">
        <v>412</v>
      </c>
      <c r="C145" s="1" t="s">
        <v>366</v>
      </c>
      <c r="D145" s="1">
        <v>2021</v>
      </c>
      <c r="E145" s="1" t="s">
        <v>25</v>
      </c>
      <c r="F145" s="1" t="s">
        <v>40</v>
      </c>
      <c r="G145" s="1">
        <v>8.4</v>
      </c>
      <c r="H145" s="1">
        <v>14.5</v>
      </c>
      <c r="I145" s="1">
        <v>8.4</v>
      </c>
      <c r="J145" s="1">
        <v>9.4</v>
      </c>
      <c r="K145" s="1">
        <v>7.2</v>
      </c>
      <c r="L145" s="1">
        <v>8.4</v>
      </c>
      <c r="M145" s="1">
        <v>168</v>
      </c>
      <c r="N145" s="1">
        <v>2735</v>
      </c>
      <c r="O145" s="1">
        <v>1</v>
      </c>
      <c r="P145" s="1">
        <v>1</v>
      </c>
      <c r="Q145" s="1">
        <v>0.32</v>
      </c>
      <c r="R145" s="1">
        <v>1.92</v>
      </c>
      <c r="S145" s="1">
        <v>1600</v>
      </c>
      <c r="T145" s="1">
        <v>1600</v>
      </c>
      <c r="U145" s="1">
        <v>2</v>
      </c>
      <c r="V145" s="1">
        <v>110</v>
      </c>
    </row>
    <row r="146" spans="1:22" x14ac:dyDescent="0.3">
      <c r="A146" s="1">
        <v>4032</v>
      </c>
      <c r="B146" s="3" t="s">
        <v>413</v>
      </c>
      <c r="C146" s="1" t="s">
        <v>366</v>
      </c>
      <c r="D146" s="1">
        <v>2021</v>
      </c>
      <c r="E146" s="1" t="s">
        <v>25</v>
      </c>
      <c r="F146" s="1" t="s">
        <v>40</v>
      </c>
      <c r="G146" s="1">
        <v>8.3000000000000007</v>
      </c>
      <c r="H146" s="1">
        <v>23</v>
      </c>
      <c r="I146" s="1">
        <v>8.3000000000000007</v>
      </c>
      <c r="J146" s="1">
        <v>9.8000000000000007</v>
      </c>
      <c r="K146" s="1">
        <v>7.1</v>
      </c>
      <c r="L146" s="1">
        <v>8.3000000000000007</v>
      </c>
      <c r="M146" s="1">
        <v>173</v>
      </c>
      <c r="N146" s="1">
        <v>308</v>
      </c>
      <c r="O146" s="1">
        <v>1</v>
      </c>
      <c r="P146" s="1">
        <v>1</v>
      </c>
      <c r="Q146" s="1">
        <v>0.32</v>
      </c>
      <c r="R146" s="1">
        <v>1.78</v>
      </c>
      <c r="S146" s="1">
        <v>210</v>
      </c>
      <c r="T146" s="1">
        <v>140</v>
      </c>
      <c r="U146" s="1">
        <v>2</v>
      </c>
      <c r="V146" s="1">
        <v>2</v>
      </c>
    </row>
    <row r="147" spans="1:22" x14ac:dyDescent="0.3">
      <c r="A147" s="1">
        <v>4033</v>
      </c>
      <c r="B147" s="2" t="s">
        <v>414</v>
      </c>
      <c r="C147" s="1" t="s">
        <v>366</v>
      </c>
      <c r="D147" s="1">
        <v>2021</v>
      </c>
      <c r="E147" s="1" t="s">
        <v>25</v>
      </c>
      <c r="F147" s="1" t="s">
        <v>40</v>
      </c>
      <c r="G147" s="1">
        <v>8.1999999999999993</v>
      </c>
      <c r="H147" s="1">
        <v>23</v>
      </c>
      <c r="I147" s="1">
        <v>8.1999999999999993</v>
      </c>
      <c r="J147" s="1">
        <v>9.6999999999999993</v>
      </c>
      <c r="K147" s="1">
        <v>7.1</v>
      </c>
      <c r="L147" s="1">
        <v>8.1999999999999993</v>
      </c>
      <c r="M147" s="1">
        <v>178</v>
      </c>
      <c r="N147" s="1">
        <v>284</v>
      </c>
      <c r="O147" s="1">
        <v>1</v>
      </c>
      <c r="P147" s="1">
        <v>1</v>
      </c>
      <c r="Q147" s="1">
        <v>0.32</v>
      </c>
      <c r="R147" s="1">
        <v>1.42</v>
      </c>
      <c r="S147" s="1">
        <v>540</v>
      </c>
      <c r="T147" s="1">
        <v>150</v>
      </c>
      <c r="U147" s="1">
        <v>2</v>
      </c>
      <c r="V147" s="1">
        <v>2</v>
      </c>
    </row>
    <row r="148" spans="1:22" x14ac:dyDescent="0.3">
      <c r="A148" s="1">
        <v>4450</v>
      </c>
      <c r="B148" s="3" t="s">
        <v>415</v>
      </c>
      <c r="C148" s="1" t="s">
        <v>366</v>
      </c>
      <c r="D148" s="1">
        <v>2021</v>
      </c>
      <c r="E148" s="1" t="s">
        <v>25</v>
      </c>
      <c r="F148" s="1" t="s">
        <v>40</v>
      </c>
      <c r="G148" s="1">
        <v>8.9</v>
      </c>
      <c r="H148" s="1">
        <v>14</v>
      </c>
      <c r="I148" s="1">
        <v>8.9</v>
      </c>
      <c r="J148" s="1">
        <v>9.5</v>
      </c>
      <c r="K148" s="1">
        <v>7.4</v>
      </c>
      <c r="L148" s="1">
        <v>8.3000000000000007</v>
      </c>
      <c r="M148" s="1">
        <v>960</v>
      </c>
      <c r="N148" s="1">
        <v>3837</v>
      </c>
      <c r="O148" s="1">
        <v>1</v>
      </c>
      <c r="P148" s="1">
        <v>1</v>
      </c>
      <c r="Q148" s="1">
        <v>0.32</v>
      </c>
      <c r="R148" s="1">
        <v>2.12</v>
      </c>
      <c r="S148" s="1">
        <v>1600</v>
      </c>
      <c r="T148" s="1">
        <v>49</v>
      </c>
      <c r="U148" s="1">
        <v>2</v>
      </c>
      <c r="V148" s="1">
        <v>2</v>
      </c>
    </row>
    <row r="149" spans="1:22" x14ac:dyDescent="0.3">
      <c r="A149" s="1">
        <v>4451</v>
      </c>
      <c r="B149" s="2" t="s">
        <v>453</v>
      </c>
      <c r="C149" s="1" t="s">
        <v>366</v>
      </c>
      <c r="D149" s="1">
        <v>2021</v>
      </c>
      <c r="E149" s="1" t="s">
        <v>25</v>
      </c>
      <c r="F149" s="1" t="s">
        <v>40</v>
      </c>
      <c r="G149" s="1">
        <v>8.9</v>
      </c>
      <c r="H149" s="1">
        <v>14</v>
      </c>
      <c r="I149" s="1">
        <v>8.9</v>
      </c>
      <c r="J149" s="1">
        <v>9.5</v>
      </c>
      <c r="K149" s="1">
        <v>7.1</v>
      </c>
      <c r="L149" s="1">
        <v>8.1999999999999993</v>
      </c>
      <c r="M149" s="1">
        <v>978</v>
      </c>
      <c r="N149" s="1">
        <v>3829</v>
      </c>
      <c r="O149" s="1">
        <v>1</v>
      </c>
      <c r="P149" s="1">
        <v>1</v>
      </c>
      <c r="Q149" s="1">
        <v>0.32</v>
      </c>
      <c r="R149" s="1">
        <v>2.52</v>
      </c>
      <c r="S149" s="1">
        <v>1600</v>
      </c>
      <c r="T149" s="1">
        <v>220</v>
      </c>
      <c r="U149" s="1">
        <v>2</v>
      </c>
      <c r="V149" s="1">
        <v>5</v>
      </c>
    </row>
    <row r="150" spans="1:22" x14ac:dyDescent="0.3">
      <c r="A150" s="1">
        <v>30009</v>
      </c>
      <c r="B150" s="3" t="s">
        <v>453</v>
      </c>
      <c r="C150" s="1" t="s">
        <v>455</v>
      </c>
      <c r="D150" s="1">
        <v>2021</v>
      </c>
      <c r="E150" s="1" t="s">
        <v>25</v>
      </c>
      <c r="F150" s="1" t="s">
        <v>40</v>
      </c>
      <c r="G150" s="1">
        <v>9</v>
      </c>
      <c r="H150" s="1">
        <v>25</v>
      </c>
      <c r="I150" s="1">
        <v>9</v>
      </c>
      <c r="J150" s="1">
        <v>9.6</v>
      </c>
      <c r="K150" s="1">
        <v>7.1</v>
      </c>
      <c r="L150" s="1">
        <v>7.7</v>
      </c>
      <c r="M150" s="1">
        <v>207</v>
      </c>
      <c r="N150" s="1">
        <v>293</v>
      </c>
      <c r="O150" s="1">
        <v>2</v>
      </c>
      <c r="P150" s="1">
        <v>2</v>
      </c>
      <c r="Q150" s="1">
        <v>0.32</v>
      </c>
      <c r="R150" s="1">
        <v>0.72</v>
      </c>
      <c r="S150" s="1">
        <v>20000</v>
      </c>
      <c r="T150" s="1">
        <v>490</v>
      </c>
      <c r="U150" s="1">
        <v>8</v>
      </c>
      <c r="V150" s="1">
        <v>330</v>
      </c>
    </row>
    <row r="151" spans="1:22" x14ac:dyDescent="0.3">
      <c r="A151" s="1">
        <v>1014</v>
      </c>
      <c r="B151" s="2" t="s">
        <v>453</v>
      </c>
      <c r="C151" s="1" t="s">
        <v>456</v>
      </c>
      <c r="D151" s="1">
        <v>2021</v>
      </c>
      <c r="E151" s="1" t="s">
        <v>25</v>
      </c>
      <c r="F151" s="1" t="s">
        <v>40</v>
      </c>
      <c r="G151" s="1">
        <v>8.1999999999999993</v>
      </c>
      <c r="H151" s="1">
        <v>21</v>
      </c>
      <c r="I151" s="1">
        <v>8.1999999999999993</v>
      </c>
      <c r="J151" s="1">
        <v>9.6999999999999993</v>
      </c>
      <c r="K151" s="1">
        <v>7.3</v>
      </c>
      <c r="L151" s="1">
        <v>8.1</v>
      </c>
      <c r="M151" s="1">
        <v>110</v>
      </c>
      <c r="N151" s="1">
        <v>287</v>
      </c>
      <c r="O151" s="1">
        <v>1</v>
      </c>
      <c r="P151" s="1">
        <v>1</v>
      </c>
      <c r="Q151" s="1">
        <v>0.32</v>
      </c>
      <c r="R151" s="1">
        <v>0.77</v>
      </c>
      <c r="S151" s="1">
        <v>79</v>
      </c>
      <c r="T151" s="1">
        <v>170</v>
      </c>
      <c r="U151" s="1">
        <v>2</v>
      </c>
      <c r="V151" s="1">
        <v>2</v>
      </c>
    </row>
    <row r="152" spans="1:22" x14ac:dyDescent="0.3">
      <c r="A152" s="1">
        <v>1015</v>
      </c>
      <c r="B152" s="3" t="s">
        <v>453</v>
      </c>
      <c r="C152" s="1" t="s">
        <v>457</v>
      </c>
      <c r="D152" s="1">
        <v>2021</v>
      </c>
      <c r="E152" s="1" t="s">
        <v>25</v>
      </c>
      <c r="F152" s="1" t="s">
        <v>40</v>
      </c>
      <c r="G152" s="1">
        <v>8.5</v>
      </c>
      <c r="H152" s="1">
        <v>21</v>
      </c>
      <c r="I152" s="1">
        <v>8.5</v>
      </c>
      <c r="J152" s="1">
        <v>9.6</v>
      </c>
      <c r="K152" s="1">
        <v>7.2</v>
      </c>
      <c r="L152" s="1">
        <v>8</v>
      </c>
      <c r="M152" s="1">
        <v>111</v>
      </c>
      <c r="N152" s="1">
        <v>262</v>
      </c>
      <c r="O152" s="1">
        <v>1</v>
      </c>
      <c r="P152" s="1">
        <v>1</v>
      </c>
      <c r="Q152" s="1">
        <v>0.32</v>
      </c>
      <c r="R152" s="1">
        <v>1.1200000000000001</v>
      </c>
      <c r="S152" s="1">
        <v>140</v>
      </c>
      <c r="T152" s="1">
        <v>210</v>
      </c>
      <c r="U152" s="1">
        <v>2</v>
      </c>
      <c r="V152" s="1">
        <v>2</v>
      </c>
    </row>
    <row r="153" spans="1:22" x14ac:dyDescent="0.3">
      <c r="A153" s="1">
        <v>1016</v>
      </c>
      <c r="B153" s="2" t="s">
        <v>453</v>
      </c>
      <c r="C153" s="1" t="s">
        <v>458</v>
      </c>
      <c r="D153" s="1">
        <v>2021</v>
      </c>
      <c r="E153" s="1" t="s">
        <v>25</v>
      </c>
      <c r="F153" s="1" t="s">
        <v>40</v>
      </c>
      <c r="G153" s="1">
        <v>8.1999999999999993</v>
      </c>
      <c r="H153" s="1">
        <v>26</v>
      </c>
      <c r="I153" s="1">
        <v>8.1999999999999993</v>
      </c>
      <c r="J153" s="1">
        <v>9.4</v>
      </c>
      <c r="K153" s="1">
        <v>7</v>
      </c>
      <c r="L153" s="1">
        <v>7.9</v>
      </c>
      <c r="M153" s="1">
        <v>185</v>
      </c>
      <c r="N153" s="1">
        <v>261</v>
      </c>
      <c r="O153" s="1">
        <v>1</v>
      </c>
      <c r="P153" s="1">
        <v>1</v>
      </c>
      <c r="Q153" s="1">
        <v>0.3</v>
      </c>
      <c r="R153" s="1">
        <v>5.0999999999999996</v>
      </c>
      <c r="S153" s="1">
        <v>2</v>
      </c>
      <c r="T153" s="1">
        <v>22</v>
      </c>
      <c r="U153" s="1">
        <v>2</v>
      </c>
      <c r="V153" s="1">
        <v>2</v>
      </c>
    </row>
    <row r="154" spans="1:22" x14ac:dyDescent="0.3">
      <c r="A154" s="1">
        <v>30010</v>
      </c>
      <c r="B154" s="3" t="s">
        <v>453</v>
      </c>
      <c r="C154" s="1" t="s">
        <v>459</v>
      </c>
      <c r="D154" s="1">
        <v>2021</v>
      </c>
      <c r="E154" s="1" t="s">
        <v>25</v>
      </c>
      <c r="F154" s="1" t="s">
        <v>187</v>
      </c>
      <c r="G154" s="1">
        <v>8.9</v>
      </c>
      <c r="H154" s="1">
        <v>26</v>
      </c>
      <c r="I154" s="1">
        <v>8.9</v>
      </c>
      <c r="J154" s="1">
        <v>10.199999999999999</v>
      </c>
      <c r="K154" s="1">
        <v>7.1</v>
      </c>
      <c r="L154" s="1">
        <v>7.7</v>
      </c>
      <c r="M154" s="1">
        <v>218</v>
      </c>
      <c r="N154" s="1">
        <v>299</v>
      </c>
      <c r="O154" s="1">
        <v>2</v>
      </c>
      <c r="P154" s="1">
        <v>2</v>
      </c>
      <c r="Q154" s="1">
        <v>0.32</v>
      </c>
      <c r="R154" s="1">
        <v>0.72</v>
      </c>
      <c r="S154" s="1">
        <v>54000</v>
      </c>
      <c r="T154" s="1">
        <v>1400</v>
      </c>
      <c r="U154" s="1">
        <v>11</v>
      </c>
      <c r="V154" s="1">
        <v>540</v>
      </c>
    </row>
    <row r="155" spans="1:22" x14ac:dyDescent="0.3">
      <c r="A155" s="1">
        <v>1814</v>
      </c>
      <c r="B155" s="3" t="s">
        <v>453</v>
      </c>
      <c r="C155" s="1" t="s">
        <v>460</v>
      </c>
      <c r="D155" s="1">
        <v>2021</v>
      </c>
      <c r="E155" s="1" t="s">
        <v>25</v>
      </c>
      <c r="F155" s="1" t="s">
        <v>187</v>
      </c>
      <c r="G155" s="1">
        <v>7.3</v>
      </c>
      <c r="H155" s="1">
        <v>22</v>
      </c>
      <c r="I155" s="1">
        <v>7.3</v>
      </c>
      <c r="J155" s="1">
        <v>10.1</v>
      </c>
      <c r="K155" s="1">
        <v>7.5</v>
      </c>
      <c r="L155" s="1">
        <v>8.6</v>
      </c>
      <c r="M155" s="1">
        <v>198</v>
      </c>
      <c r="N155" s="1">
        <v>281</v>
      </c>
      <c r="O155" s="1">
        <v>1</v>
      </c>
      <c r="P155" s="1">
        <v>1</v>
      </c>
      <c r="Q155" s="1">
        <v>1.2</v>
      </c>
      <c r="R155" s="1">
        <v>1.8</v>
      </c>
      <c r="S155" s="1">
        <v>330</v>
      </c>
      <c r="T155" s="1">
        <v>310</v>
      </c>
      <c r="U155" s="1" t="s">
        <v>71</v>
      </c>
      <c r="V155" s="1"/>
    </row>
    <row r="156" spans="1:22" x14ac:dyDescent="0.3">
      <c r="A156" s="1">
        <v>3052</v>
      </c>
      <c r="B156" s="2" t="s">
        <v>327</v>
      </c>
      <c r="C156" s="1" t="s">
        <v>328</v>
      </c>
      <c r="D156" s="1">
        <v>2023</v>
      </c>
      <c r="E156" s="1" t="s">
        <v>190</v>
      </c>
      <c r="F156" s="1" t="s">
        <v>70</v>
      </c>
      <c r="G156" s="1">
        <v>22</v>
      </c>
      <c r="H156" s="1">
        <v>25</v>
      </c>
      <c r="I156" s="1">
        <v>0.3</v>
      </c>
      <c r="J156" s="1">
        <v>1.8</v>
      </c>
      <c r="K156" s="1">
        <v>6.9</v>
      </c>
      <c r="L156" s="1">
        <v>7.9</v>
      </c>
      <c r="M156" s="1">
        <v>1548</v>
      </c>
      <c r="N156" s="1">
        <v>2280</v>
      </c>
      <c r="O156" s="1">
        <v>17.8</v>
      </c>
      <c r="P156" s="1">
        <v>37</v>
      </c>
      <c r="Q156" s="1">
        <v>5.5</v>
      </c>
      <c r="R156" s="1">
        <v>8.8000000000000007</v>
      </c>
      <c r="S156" s="1">
        <v>440</v>
      </c>
      <c r="T156" s="1">
        <v>470</v>
      </c>
      <c r="U156" s="1">
        <v>2300</v>
      </c>
      <c r="V156" s="1">
        <v>5200</v>
      </c>
    </row>
    <row r="157" spans="1:22" x14ac:dyDescent="0.3">
      <c r="A157" s="1">
        <v>3053</v>
      </c>
      <c r="B157" s="3" t="s">
        <v>329</v>
      </c>
      <c r="C157" s="1" t="s">
        <v>330</v>
      </c>
      <c r="D157" s="1">
        <v>2023</v>
      </c>
      <c r="E157" s="1" t="s">
        <v>190</v>
      </c>
      <c r="F157" s="1" t="s">
        <v>70</v>
      </c>
      <c r="G157" s="1">
        <v>24</v>
      </c>
      <c r="H157" s="1">
        <v>26</v>
      </c>
      <c r="I157" s="1">
        <v>4.9000000000000004</v>
      </c>
      <c r="J157" s="1">
        <v>6.9</v>
      </c>
      <c r="K157" s="1">
        <v>6.7</v>
      </c>
      <c r="L157" s="1">
        <v>7.6</v>
      </c>
      <c r="M157" s="1">
        <v>525</v>
      </c>
      <c r="N157" s="1">
        <v>24500</v>
      </c>
      <c r="O157" s="1">
        <v>2.4</v>
      </c>
      <c r="P157" s="1">
        <v>3.6</v>
      </c>
      <c r="Q157" s="1">
        <v>0.8</v>
      </c>
      <c r="R157" s="1">
        <v>3.3</v>
      </c>
      <c r="S157" s="1">
        <v>3</v>
      </c>
      <c r="T157" s="1">
        <v>20</v>
      </c>
      <c r="U157" s="1">
        <v>75</v>
      </c>
      <c r="V157" s="1">
        <v>460</v>
      </c>
    </row>
    <row r="158" spans="1:22" x14ac:dyDescent="0.3">
      <c r="A158" s="1">
        <v>4861</v>
      </c>
      <c r="B158" s="1" t="s">
        <v>475</v>
      </c>
      <c r="C158" s="1" t="s">
        <v>476</v>
      </c>
      <c r="D158" s="1">
        <v>2023</v>
      </c>
      <c r="E158" s="1" t="s">
        <v>193</v>
      </c>
      <c r="F158" s="1" t="s">
        <v>194</v>
      </c>
      <c r="G158" s="1">
        <v>22</v>
      </c>
      <c r="H158" s="1">
        <v>30</v>
      </c>
      <c r="I158" s="1">
        <v>7</v>
      </c>
      <c r="J158" s="1">
        <v>7.7</v>
      </c>
      <c r="K158" s="1">
        <v>7</v>
      </c>
      <c r="L158" s="1">
        <v>7.8</v>
      </c>
      <c r="M158" s="1">
        <v>1010</v>
      </c>
      <c r="N158" s="1">
        <v>1210</v>
      </c>
      <c r="O158" s="1">
        <v>1</v>
      </c>
      <c r="P158" s="1">
        <v>1</v>
      </c>
      <c r="Q158" s="1">
        <v>0.3</v>
      </c>
      <c r="R158" s="1">
        <v>0.3</v>
      </c>
      <c r="S158" s="1">
        <v>80</v>
      </c>
      <c r="T158" s="1">
        <v>160</v>
      </c>
      <c r="U158" s="1">
        <v>1900</v>
      </c>
      <c r="V158" s="1">
        <v>2900</v>
      </c>
    </row>
    <row r="159" spans="1:22" x14ac:dyDescent="0.3">
      <c r="A159" s="1">
        <v>3047</v>
      </c>
      <c r="B159" s="1" t="s">
        <v>477</v>
      </c>
      <c r="C159" s="1" t="s">
        <v>478</v>
      </c>
      <c r="D159" s="1">
        <v>2023</v>
      </c>
      <c r="E159" s="1" t="s">
        <v>193</v>
      </c>
      <c r="F159" s="1" t="s">
        <v>194</v>
      </c>
      <c r="G159" s="1">
        <v>26</v>
      </c>
      <c r="H159" s="1">
        <v>32</v>
      </c>
      <c r="I159" s="1">
        <v>7</v>
      </c>
      <c r="J159" s="1">
        <v>7.3</v>
      </c>
      <c r="K159" s="1">
        <v>7.2</v>
      </c>
      <c r="L159" s="1">
        <v>8</v>
      </c>
      <c r="M159" s="1">
        <v>1120</v>
      </c>
      <c r="N159" s="1">
        <v>1640</v>
      </c>
      <c r="O159" s="1">
        <v>1</v>
      </c>
      <c r="P159" s="1">
        <v>1</v>
      </c>
      <c r="Q159" s="1">
        <v>0.3</v>
      </c>
      <c r="R159" s="1">
        <v>0.3</v>
      </c>
      <c r="S159" s="1">
        <v>110</v>
      </c>
      <c r="T159" s="1">
        <v>310</v>
      </c>
      <c r="U159" s="1">
        <v>2700</v>
      </c>
      <c r="V159" s="1">
        <v>5100</v>
      </c>
    </row>
    <row r="160" spans="1:22" x14ac:dyDescent="0.3">
      <c r="A160" s="1">
        <v>4464</v>
      </c>
      <c r="B160" s="2" t="s">
        <v>331</v>
      </c>
      <c r="C160" s="1" t="s">
        <v>332</v>
      </c>
      <c r="D160" s="1">
        <v>2023</v>
      </c>
      <c r="E160" s="1" t="s">
        <v>190</v>
      </c>
      <c r="F160" s="1" t="s">
        <v>40</v>
      </c>
      <c r="G160" s="1">
        <v>12</v>
      </c>
      <c r="H160" s="1">
        <v>29</v>
      </c>
      <c r="I160" s="1">
        <v>8.1999999999999993</v>
      </c>
      <c r="J160" s="1">
        <v>9.3000000000000007</v>
      </c>
      <c r="K160" s="1">
        <v>6.9</v>
      </c>
      <c r="L160" s="1">
        <v>8.1999999999999993</v>
      </c>
      <c r="M160" s="1">
        <v>286</v>
      </c>
      <c r="N160" s="1">
        <v>470</v>
      </c>
      <c r="O160" s="1">
        <v>1</v>
      </c>
      <c r="P160" s="1">
        <v>1</v>
      </c>
      <c r="Q160" s="1">
        <v>0.3</v>
      </c>
      <c r="R160" s="1">
        <v>2.6</v>
      </c>
      <c r="S160" s="1">
        <v>22</v>
      </c>
      <c r="T160" s="1">
        <v>84</v>
      </c>
      <c r="U160" s="1">
        <v>130</v>
      </c>
      <c r="V160" s="1">
        <v>540</v>
      </c>
    </row>
    <row r="161" spans="1:22" x14ac:dyDescent="0.3">
      <c r="A161" s="1">
        <v>3868</v>
      </c>
      <c r="B161" s="3" t="s">
        <v>197</v>
      </c>
      <c r="C161" s="1" t="s">
        <v>366</v>
      </c>
      <c r="D161" s="1">
        <v>2023</v>
      </c>
      <c r="E161" s="1" t="s">
        <v>190</v>
      </c>
      <c r="F161" s="1" t="s">
        <v>40</v>
      </c>
      <c r="G161" s="1">
        <v>1</v>
      </c>
      <c r="H161" s="1">
        <v>13</v>
      </c>
      <c r="I161" s="1">
        <v>7.5</v>
      </c>
      <c r="J161" s="1">
        <v>8.9</v>
      </c>
      <c r="K161" s="1">
        <v>6.8</v>
      </c>
      <c r="L161" s="1">
        <v>8</v>
      </c>
      <c r="M161" s="1">
        <v>50</v>
      </c>
      <c r="N161" s="1">
        <v>106</v>
      </c>
      <c r="O161" s="1">
        <v>1</v>
      </c>
      <c r="P161" s="1">
        <v>1</v>
      </c>
      <c r="Q161" s="1">
        <v>0.3</v>
      </c>
      <c r="R161" s="1">
        <v>0.7</v>
      </c>
      <c r="S161" s="1">
        <v>21</v>
      </c>
      <c r="T161" s="1">
        <v>58</v>
      </c>
      <c r="U161" s="1">
        <v>58</v>
      </c>
      <c r="V161" s="1">
        <v>280</v>
      </c>
    </row>
    <row r="162" spans="1:22" x14ac:dyDescent="0.3">
      <c r="A162" s="1">
        <v>3881</v>
      </c>
      <c r="B162" s="2" t="s">
        <v>333</v>
      </c>
      <c r="C162" s="1" t="s">
        <v>334</v>
      </c>
      <c r="D162" s="1">
        <v>2023</v>
      </c>
      <c r="E162" s="1" t="s">
        <v>190</v>
      </c>
      <c r="F162" s="1" t="s">
        <v>40</v>
      </c>
      <c r="G162" s="1">
        <v>12</v>
      </c>
      <c r="H162" s="1">
        <v>28</v>
      </c>
      <c r="I162" s="1">
        <v>3.9</v>
      </c>
      <c r="J162" s="1">
        <v>6.1</v>
      </c>
      <c r="K162" s="1">
        <v>7.6</v>
      </c>
      <c r="L162" s="1">
        <v>8</v>
      </c>
      <c r="M162" s="1">
        <v>678</v>
      </c>
      <c r="N162" s="1">
        <v>5130</v>
      </c>
      <c r="O162" s="1">
        <v>1</v>
      </c>
      <c r="P162" s="1">
        <v>20</v>
      </c>
      <c r="Q162" s="1">
        <v>1.2</v>
      </c>
      <c r="R162" s="1">
        <v>10.9</v>
      </c>
      <c r="S162" s="1">
        <v>2</v>
      </c>
      <c r="T162" s="1">
        <v>1600</v>
      </c>
      <c r="U162" s="1">
        <v>26</v>
      </c>
      <c r="V162" s="1">
        <v>1600</v>
      </c>
    </row>
    <row r="163" spans="1:22" x14ac:dyDescent="0.3">
      <c r="A163" s="1">
        <v>3879</v>
      </c>
      <c r="B163" s="3" t="s">
        <v>335</v>
      </c>
      <c r="C163" s="1" t="s">
        <v>334</v>
      </c>
      <c r="D163" s="1">
        <v>2023</v>
      </c>
      <c r="E163" s="1" t="s">
        <v>190</v>
      </c>
      <c r="F163" s="1" t="s">
        <v>40</v>
      </c>
      <c r="G163" s="1">
        <v>11</v>
      </c>
      <c r="H163" s="1">
        <v>26</v>
      </c>
      <c r="I163" s="1">
        <v>0.3</v>
      </c>
      <c r="J163" s="1">
        <v>6.2</v>
      </c>
      <c r="K163" s="1">
        <v>7.1</v>
      </c>
      <c r="L163" s="1">
        <v>8.1</v>
      </c>
      <c r="M163" s="1">
        <v>670</v>
      </c>
      <c r="N163" s="1">
        <v>7530</v>
      </c>
      <c r="O163" s="1">
        <v>1.2</v>
      </c>
      <c r="P163" s="1">
        <v>90</v>
      </c>
      <c r="Q163" s="1">
        <v>0.6</v>
      </c>
      <c r="R163" s="1">
        <v>7.2</v>
      </c>
      <c r="S163" s="1">
        <v>7</v>
      </c>
      <c r="T163" s="1">
        <v>1600</v>
      </c>
      <c r="U163" s="1">
        <v>130</v>
      </c>
      <c r="V163" s="1">
        <v>1600</v>
      </c>
    </row>
    <row r="164" spans="1:22" x14ac:dyDescent="0.3">
      <c r="A164" s="1">
        <v>4425</v>
      </c>
      <c r="B164" s="2" t="s">
        <v>200</v>
      </c>
      <c r="C164" s="1" t="s">
        <v>366</v>
      </c>
      <c r="D164" s="1">
        <v>2023</v>
      </c>
      <c r="E164" s="1" t="s">
        <v>190</v>
      </c>
      <c r="F164" s="1" t="s">
        <v>40</v>
      </c>
      <c r="G164" s="1">
        <v>8</v>
      </c>
      <c r="H164" s="1">
        <v>15</v>
      </c>
      <c r="I164" s="1">
        <v>7.8</v>
      </c>
      <c r="J164" s="1">
        <v>9.1999999999999993</v>
      </c>
      <c r="K164" s="1">
        <v>7.5</v>
      </c>
      <c r="L164" s="1">
        <v>8.3000000000000007</v>
      </c>
      <c r="M164" s="1">
        <v>102</v>
      </c>
      <c r="N164" s="1">
        <v>231</v>
      </c>
      <c r="O164" s="1">
        <v>1</v>
      </c>
      <c r="P164" s="1">
        <v>1</v>
      </c>
      <c r="Q164" s="1">
        <v>0.3</v>
      </c>
      <c r="R164" s="1">
        <v>4</v>
      </c>
      <c r="S164" s="1">
        <v>7</v>
      </c>
      <c r="T164" s="1">
        <v>70</v>
      </c>
      <c r="U164" s="1">
        <v>26</v>
      </c>
      <c r="V164" s="1">
        <v>1600</v>
      </c>
    </row>
    <row r="165" spans="1:22" x14ac:dyDescent="0.3">
      <c r="A165" s="1">
        <v>4463</v>
      </c>
      <c r="B165" s="3" t="s">
        <v>336</v>
      </c>
      <c r="C165" s="1" t="s">
        <v>337</v>
      </c>
      <c r="D165" s="1">
        <v>2023</v>
      </c>
      <c r="E165" s="1" t="s">
        <v>190</v>
      </c>
      <c r="F165" s="1" t="s">
        <v>40</v>
      </c>
      <c r="G165" s="1">
        <v>9</v>
      </c>
      <c r="H165" s="1">
        <v>19</v>
      </c>
      <c r="I165" s="1">
        <v>7.1</v>
      </c>
      <c r="J165" s="1">
        <v>8.1999999999999993</v>
      </c>
      <c r="K165" s="1">
        <v>7.9</v>
      </c>
      <c r="L165" s="1">
        <v>8.4</v>
      </c>
      <c r="M165" s="1">
        <v>114</v>
      </c>
      <c r="N165" s="1">
        <v>766</v>
      </c>
      <c r="O165" s="1">
        <v>1</v>
      </c>
      <c r="P165" s="1">
        <v>1</v>
      </c>
      <c r="Q165" s="1">
        <v>0.3</v>
      </c>
      <c r="R165" s="1">
        <v>2.2000000000000002</v>
      </c>
      <c r="S165" s="1">
        <v>9</v>
      </c>
      <c r="T165" s="1">
        <v>39</v>
      </c>
      <c r="U165" s="1">
        <v>20</v>
      </c>
      <c r="V165" s="1">
        <v>1600</v>
      </c>
    </row>
    <row r="166" spans="1:22" x14ac:dyDescent="0.3">
      <c r="A166" s="1">
        <v>4474</v>
      </c>
      <c r="B166" s="2" t="s">
        <v>338</v>
      </c>
      <c r="C166" s="1" t="s">
        <v>339</v>
      </c>
      <c r="D166" s="1">
        <v>2023</v>
      </c>
      <c r="E166" s="1" t="s">
        <v>190</v>
      </c>
      <c r="F166" s="1" t="s">
        <v>40</v>
      </c>
      <c r="G166" s="1">
        <v>8</v>
      </c>
      <c r="H166" s="1">
        <v>13</v>
      </c>
      <c r="I166" s="1">
        <v>9.4</v>
      </c>
      <c r="J166" s="1">
        <v>9.6</v>
      </c>
      <c r="K166" s="1">
        <v>7.6</v>
      </c>
      <c r="L166" s="1">
        <v>8.3000000000000007</v>
      </c>
      <c r="M166" s="1">
        <v>97</v>
      </c>
      <c r="N166" s="1">
        <v>347</v>
      </c>
      <c r="O166" s="1">
        <v>1</v>
      </c>
      <c r="P166" s="1">
        <v>1</v>
      </c>
      <c r="Q166" s="1">
        <v>0.4</v>
      </c>
      <c r="R166" s="1">
        <v>1.4</v>
      </c>
      <c r="S166" s="1">
        <v>2</v>
      </c>
      <c r="T166" s="1">
        <v>170</v>
      </c>
      <c r="U166" s="1">
        <v>7</v>
      </c>
      <c r="V166" s="1">
        <v>1600</v>
      </c>
    </row>
    <row r="167" spans="1:22" x14ac:dyDescent="0.3">
      <c r="A167" s="1">
        <v>4481</v>
      </c>
      <c r="B167" s="3" t="s">
        <v>340</v>
      </c>
      <c r="C167" s="1" t="s">
        <v>341</v>
      </c>
      <c r="D167" s="1">
        <v>2023</v>
      </c>
      <c r="E167" s="1" t="s">
        <v>190</v>
      </c>
      <c r="F167" s="1" t="s">
        <v>40</v>
      </c>
      <c r="G167" s="1">
        <v>19</v>
      </c>
      <c r="H167" s="1">
        <v>28</v>
      </c>
      <c r="I167" s="1">
        <v>7.6</v>
      </c>
      <c r="J167" s="1">
        <v>8.5</v>
      </c>
      <c r="K167" s="1">
        <v>6.6</v>
      </c>
      <c r="L167" s="1">
        <v>7.9</v>
      </c>
      <c r="M167" s="1">
        <v>278</v>
      </c>
      <c r="N167" s="1">
        <v>680</v>
      </c>
      <c r="O167" s="1">
        <v>1</v>
      </c>
      <c r="P167" s="1">
        <v>2.2999999999999998</v>
      </c>
      <c r="Q167" s="1">
        <v>0.3</v>
      </c>
      <c r="R167" s="1">
        <v>8.5</v>
      </c>
      <c r="S167" s="1">
        <v>2</v>
      </c>
      <c r="T167" s="1">
        <v>6</v>
      </c>
      <c r="U167" s="1">
        <v>21</v>
      </c>
      <c r="V167" s="1">
        <v>47</v>
      </c>
    </row>
    <row r="168" spans="1:22" x14ac:dyDescent="0.3">
      <c r="A168" s="1">
        <v>5253</v>
      </c>
      <c r="B168" s="2" t="s">
        <v>342</v>
      </c>
      <c r="C168" s="1" t="s">
        <v>343</v>
      </c>
      <c r="D168" s="1">
        <v>2023</v>
      </c>
      <c r="E168" s="1" t="s">
        <v>190</v>
      </c>
      <c r="F168" s="1" t="s">
        <v>40</v>
      </c>
      <c r="G168" s="1">
        <v>5</v>
      </c>
      <c r="H168" s="1">
        <v>18</v>
      </c>
      <c r="I168" s="1">
        <v>7.3</v>
      </c>
      <c r="J168" s="1">
        <v>8.3000000000000007</v>
      </c>
      <c r="K168" s="1">
        <v>7.1</v>
      </c>
      <c r="L168" s="1">
        <v>8.5</v>
      </c>
      <c r="M168" s="1">
        <v>60</v>
      </c>
      <c r="N168" s="1">
        <v>155</v>
      </c>
      <c r="O168" s="1">
        <v>1</v>
      </c>
      <c r="P168" s="1">
        <v>1</v>
      </c>
      <c r="Q168" s="1">
        <v>0.3</v>
      </c>
      <c r="R168" s="1">
        <v>0.7</v>
      </c>
      <c r="S168" s="1">
        <v>31</v>
      </c>
      <c r="T168" s="1">
        <v>94</v>
      </c>
      <c r="U168" s="1">
        <v>140</v>
      </c>
      <c r="V168" s="1">
        <v>540</v>
      </c>
    </row>
    <row r="169" spans="1:22" x14ac:dyDescent="0.3">
      <c r="A169" s="1">
        <v>4426</v>
      </c>
      <c r="B169" s="3" t="s">
        <v>205</v>
      </c>
      <c r="C169" s="1" t="s">
        <v>366</v>
      </c>
      <c r="D169" s="1">
        <v>2023</v>
      </c>
      <c r="E169" s="1" t="s">
        <v>190</v>
      </c>
      <c r="F169" s="1" t="s">
        <v>40</v>
      </c>
      <c r="G169" s="1">
        <v>8</v>
      </c>
      <c r="H169" s="1">
        <v>14</v>
      </c>
      <c r="I169" s="1">
        <v>7.6</v>
      </c>
      <c r="J169" s="1">
        <v>9.3000000000000007</v>
      </c>
      <c r="K169" s="1">
        <v>7.6</v>
      </c>
      <c r="L169" s="1">
        <v>8.3000000000000007</v>
      </c>
      <c r="M169" s="1">
        <v>92</v>
      </c>
      <c r="N169" s="1">
        <v>156</v>
      </c>
      <c r="O169" s="1">
        <v>1</v>
      </c>
      <c r="P169" s="1">
        <v>1</v>
      </c>
      <c r="Q169" s="1">
        <v>0.3</v>
      </c>
      <c r="R169" s="1">
        <v>1</v>
      </c>
      <c r="S169" s="1">
        <v>2</v>
      </c>
      <c r="T169" s="1">
        <v>130</v>
      </c>
      <c r="U169" s="1">
        <v>2</v>
      </c>
      <c r="V169" s="1">
        <v>1600</v>
      </c>
    </row>
    <row r="170" spans="1:22" x14ac:dyDescent="0.3">
      <c r="A170" s="1">
        <v>4454</v>
      </c>
      <c r="B170" s="2" t="s">
        <v>206</v>
      </c>
      <c r="C170" s="1" t="s">
        <v>366</v>
      </c>
      <c r="D170" s="1">
        <v>2023</v>
      </c>
      <c r="E170" s="1" t="s">
        <v>190</v>
      </c>
      <c r="F170" s="1" t="s">
        <v>40</v>
      </c>
      <c r="G170" s="1">
        <v>8</v>
      </c>
      <c r="H170" s="1">
        <v>15</v>
      </c>
      <c r="I170" s="1">
        <v>8.8000000000000007</v>
      </c>
      <c r="J170" s="1">
        <v>9.4</v>
      </c>
      <c r="K170" s="1">
        <v>7.5</v>
      </c>
      <c r="L170" s="1">
        <v>8.3000000000000007</v>
      </c>
      <c r="M170" s="1">
        <v>110</v>
      </c>
      <c r="N170" s="1">
        <v>485</v>
      </c>
      <c r="O170" s="1">
        <v>1</v>
      </c>
      <c r="P170" s="1">
        <v>1</v>
      </c>
      <c r="Q170" s="1">
        <v>0.4</v>
      </c>
      <c r="R170" s="1">
        <v>5.3</v>
      </c>
      <c r="S170" s="1">
        <v>2</v>
      </c>
      <c r="T170" s="1">
        <v>20</v>
      </c>
      <c r="U170" s="1">
        <v>23</v>
      </c>
      <c r="V170" s="1">
        <v>3500</v>
      </c>
    </row>
    <row r="171" spans="1:22" x14ac:dyDescent="0.3">
      <c r="A171" s="1">
        <v>4466</v>
      </c>
      <c r="B171" s="3" t="s">
        <v>207</v>
      </c>
      <c r="C171" s="1" t="s">
        <v>366</v>
      </c>
      <c r="D171" s="1">
        <v>2023</v>
      </c>
      <c r="E171" s="1" t="s">
        <v>190</v>
      </c>
      <c r="F171" s="1" t="s">
        <v>40</v>
      </c>
      <c r="G171" s="1">
        <v>8</v>
      </c>
      <c r="H171" s="1">
        <v>15</v>
      </c>
      <c r="I171" s="1">
        <v>8.8000000000000007</v>
      </c>
      <c r="J171" s="1">
        <v>9.4</v>
      </c>
      <c r="K171" s="1">
        <v>7.5</v>
      </c>
      <c r="L171" s="1">
        <v>8.4</v>
      </c>
      <c r="M171" s="1">
        <v>112</v>
      </c>
      <c r="N171" s="1">
        <v>524</v>
      </c>
      <c r="O171" s="1">
        <v>1</v>
      </c>
      <c r="P171" s="1">
        <v>1</v>
      </c>
      <c r="Q171" s="1">
        <v>0.4</v>
      </c>
      <c r="R171" s="1">
        <v>4.2</v>
      </c>
      <c r="S171" s="1">
        <v>2</v>
      </c>
      <c r="T171" s="1">
        <v>20</v>
      </c>
      <c r="U171" s="1">
        <v>33</v>
      </c>
      <c r="V171" s="1">
        <v>3500</v>
      </c>
    </row>
    <row r="172" spans="1:22" x14ac:dyDescent="0.3">
      <c r="A172" s="1">
        <v>5257</v>
      </c>
      <c r="B172" s="2" t="s">
        <v>345</v>
      </c>
      <c r="C172" s="1" t="s">
        <v>344</v>
      </c>
      <c r="D172" s="1">
        <v>2023</v>
      </c>
      <c r="E172" s="1" t="s">
        <v>190</v>
      </c>
      <c r="F172" s="1" t="s">
        <v>40</v>
      </c>
      <c r="G172" s="1">
        <v>10</v>
      </c>
      <c r="H172" s="1">
        <v>16</v>
      </c>
      <c r="I172" s="1">
        <v>8.5</v>
      </c>
      <c r="J172" s="1">
        <v>9.1</v>
      </c>
      <c r="K172" s="1">
        <v>7</v>
      </c>
      <c r="L172" s="1">
        <v>8.1</v>
      </c>
      <c r="M172" s="1">
        <v>125</v>
      </c>
      <c r="N172" s="1">
        <v>282</v>
      </c>
      <c r="O172" s="1">
        <v>1</v>
      </c>
      <c r="P172" s="1">
        <v>1</v>
      </c>
      <c r="Q172" s="1">
        <v>0.5</v>
      </c>
      <c r="R172" s="1">
        <v>2</v>
      </c>
      <c r="S172" s="1">
        <v>2</v>
      </c>
      <c r="T172" s="1">
        <v>22</v>
      </c>
      <c r="U172" s="1">
        <v>47</v>
      </c>
      <c r="V172" s="1">
        <v>1600</v>
      </c>
    </row>
    <row r="173" spans="1:22" x14ac:dyDescent="0.3">
      <c r="A173" s="1">
        <v>4477</v>
      </c>
      <c r="B173" s="3" t="s">
        <v>209</v>
      </c>
      <c r="C173" s="1" t="s">
        <v>366</v>
      </c>
      <c r="D173" s="1">
        <v>2023</v>
      </c>
      <c r="E173" s="1" t="s">
        <v>190</v>
      </c>
      <c r="F173" s="1" t="s">
        <v>40</v>
      </c>
      <c r="G173" s="1">
        <v>2</v>
      </c>
      <c r="H173" s="1">
        <v>18</v>
      </c>
      <c r="I173" s="1">
        <v>7.8</v>
      </c>
      <c r="J173" s="1">
        <v>8.8000000000000007</v>
      </c>
      <c r="K173" s="1">
        <v>7.2</v>
      </c>
      <c r="L173" s="1">
        <v>8</v>
      </c>
      <c r="M173" s="1">
        <v>67</v>
      </c>
      <c r="N173" s="1">
        <v>230</v>
      </c>
      <c r="O173" s="1">
        <v>1</v>
      </c>
      <c r="P173" s="1">
        <v>1</v>
      </c>
      <c r="Q173" s="1">
        <v>0.3</v>
      </c>
      <c r="R173" s="1">
        <v>2.9</v>
      </c>
      <c r="S173" s="1">
        <v>32</v>
      </c>
      <c r="T173" s="1">
        <v>110</v>
      </c>
      <c r="U173" s="1">
        <v>140</v>
      </c>
      <c r="V173" s="1">
        <v>920</v>
      </c>
    </row>
    <row r="174" spans="1:22" x14ac:dyDescent="0.3">
      <c r="A174" s="1">
        <v>4455</v>
      </c>
      <c r="B174" s="2" t="s">
        <v>210</v>
      </c>
      <c r="C174" s="1" t="s">
        <v>366</v>
      </c>
      <c r="D174" s="1">
        <v>2023</v>
      </c>
      <c r="E174" s="1" t="s">
        <v>190</v>
      </c>
      <c r="F174" s="1" t="s">
        <v>40</v>
      </c>
      <c r="G174" s="1">
        <v>8</v>
      </c>
      <c r="H174" s="1">
        <v>13</v>
      </c>
      <c r="I174" s="1">
        <v>9</v>
      </c>
      <c r="J174" s="1">
        <v>9.5</v>
      </c>
      <c r="K174" s="1">
        <v>7</v>
      </c>
      <c r="L174" s="1">
        <v>8.1999999999999993</v>
      </c>
      <c r="M174" s="1">
        <v>77</v>
      </c>
      <c r="N174" s="1">
        <v>496</v>
      </c>
      <c r="O174" s="1">
        <v>1</v>
      </c>
      <c r="P174" s="1">
        <v>1</v>
      </c>
      <c r="Q174" s="1">
        <v>0.3</v>
      </c>
      <c r="R174" s="1">
        <v>1.7</v>
      </c>
      <c r="S174" s="1">
        <v>2</v>
      </c>
      <c r="T174" s="1">
        <v>40</v>
      </c>
      <c r="U174" s="1">
        <v>94</v>
      </c>
      <c r="V174" s="1">
        <v>3500</v>
      </c>
    </row>
    <row r="175" spans="1:22" x14ac:dyDescent="0.3">
      <c r="A175" s="1">
        <v>4482</v>
      </c>
      <c r="B175" s="3" t="s">
        <v>211</v>
      </c>
      <c r="C175" s="1" t="s">
        <v>366</v>
      </c>
      <c r="D175" s="1">
        <v>2023</v>
      </c>
      <c r="E175" s="1" t="s">
        <v>190</v>
      </c>
      <c r="F175" s="1" t="s">
        <v>40</v>
      </c>
      <c r="G175" s="1">
        <v>19</v>
      </c>
      <c r="H175" s="1">
        <v>28</v>
      </c>
      <c r="I175" s="1">
        <v>7.5</v>
      </c>
      <c r="J175" s="1">
        <v>8.5</v>
      </c>
      <c r="K175" s="1">
        <v>6.5</v>
      </c>
      <c r="L175" s="1">
        <v>8.1</v>
      </c>
      <c r="M175" s="1">
        <v>312</v>
      </c>
      <c r="N175" s="1">
        <v>689</v>
      </c>
      <c r="O175" s="1">
        <v>1</v>
      </c>
      <c r="P175" s="1">
        <v>2.1</v>
      </c>
      <c r="Q175" s="1">
        <v>0.3</v>
      </c>
      <c r="R175" s="1">
        <v>1.6</v>
      </c>
      <c r="S175" s="1">
        <v>2</v>
      </c>
      <c r="T175" s="1">
        <v>4</v>
      </c>
      <c r="U175" s="1">
        <v>17</v>
      </c>
      <c r="V175" s="1">
        <v>70</v>
      </c>
    </row>
    <row r="176" spans="1:22" x14ac:dyDescent="0.3">
      <c r="A176" s="1">
        <v>4036</v>
      </c>
      <c r="B176" s="2" t="s">
        <v>347</v>
      </c>
      <c r="C176" s="1" t="s">
        <v>346</v>
      </c>
      <c r="D176" s="1">
        <v>2023</v>
      </c>
      <c r="E176" s="1" t="s">
        <v>190</v>
      </c>
      <c r="F176" s="1" t="s">
        <v>40</v>
      </c>
      <c r="G176" s="1">
        <v>10</v>
      </c>
      <c r="H176" s="1">
        <v>15</v>
      </c>
      <c r="I176" s="1">
        <v>7.4</v>
      </c>
      <c r="J176" s="1">
        <v>7.8</v>
      </c>
      <c r="K176" s="1">
        <v>7.9</v>
      </c>
      <c r="L176" s="1">
        <v>8.4</v>
      </c>
      <c r="M176" s="1">
        <v>231</v>
      </c>
      <c r="N176" s="1">
        <v>3640</v>
      </c>
      <c r="O176" s="1">
        <v>1</v>
      </c>
      <c r="P176" s="1">
        <v>1.8</v>
      </c>
      <c r="Q176" s="1">
        <v>1.2</v>
      </c>
      <c r="R176" s="1">
        <v>5.3</v>
      </c>
      <c r="S176" s="1">
        <v>2</v>
      </c>
      <c r="T176" s="1">
        <v>12</v>
      </c>
      <c r="U176" s="1">
        <v>21</v>
      </c>
      <c r="V176" s="1">
        <v>350</v>
      </c>
    </row>
    <row r="177" spans="1:22" x14ac:dyDescent="0.3">
      <c r="A177" s="1">
        <v>4430</v>
      </c>
      <c r="B177" s="3" t="s">
        <v>348</v>
      </c>
      <c r="C177" s="1" t="s">
        <v>349</v>
      </c>
      <c r="D177" s="1">
        <v>2023</v>
      </c>
      <c r="E177" s="1" t="s">
        <v>190</v>
      </c>
      <c r="F177" s="1" t="s">
        <v>40</v>
      </c>
      <c r="G177" s="1">
        <v>9</v>
      </c>
      <c r="H177" s="1">
        <v>23</v>
      </c>
      <c r="I177" s="1">
        <v>6.4</v>
      </c>
      <c r="J177" s="1">
        <v>8.1</v>
      </c>
      <c r="K177" s="1">
        <v>5.9</v>
      </c>
      <c r="L177" s="1">
        <v>8.3000000000000007</v>
      </c>
      <c r="M177" s="1">
        <v>83</v>
      </c>
      <c r="N177" s="1">
        <v>828</v>
      </c>
      <c r="O177" s="1">
        <v>1.5</v>
      </c>
      <c r="P177" s="1">
        <v>12</v>
      </c>
      <c r="Q177" s="1">
        <v>0.3</v>
      </c>
      <c r="R177" s="1">
        <v>6.9</v>
      </c>
      <c r="S177" s="1">
        <v>17</v>
      </c>
      <c r="T177" s="1">
        <v>350</v>
      </c>
      <c r="U177" s="1">
        <v>540</v>
      </c>
      <c r="V177" s="1">
        <v>1600</v>
      </c>
    </row>
    <row r="178" spans="1:22" x14ac:dyDescent="0.3">
      <c r="A178" s="1">
        <v>4475</v>
      </c>
      <c r="B178" s="2" t="s">
        <v>350</v>
      </c>
      <c r="C178" s="1" t="s">
        <v>351</v>
      </c>
      <c r="D178" s="1">
        <v>2023</v>
      </c>
      <c r="E178" s="1" t="s">
        <v>190</v>
      </c>
      <c r="F178" s="1" t="s">
        <v>40</v>
      </c>
      <c r="G178" s="1">
        <v>8</v>
      </c>
      <c r="H178" s="1">
        <v>13</v>
      </c>
      <c r="I178" s="1">
        <v>9.3000000000000007</v>
      </c>
      <c r="J178" s="1">
        <v>9.6999999999999993</v>
      </c>
      <c r="K178" s="1">
        <v>7.5</v>
      </c>
      <c r="L178" s="1">
        <v>8.3000000000000007</v>
      </c>
      <c r="M178" s="1">
        <v>116</v>
      </c>
      <c r="N178" s="1">
        <v>359</v>
      </c>
      <c r="O178" s="1">
        <v>1</v>
      </c>
      <c r="P178" s="1">
        <v>1</v>
      </c>
      <c r="Q178" s="1">
        <v>0.3</v>
      </c>
      <c r="R178" s="1">
        <v>2.2999999999999998</v>
      </c>
      <c r="S178" s="1">
        <v>7</v>
      </c>
      <c r="T178" s="1">
        <v>170</v>
      </c>
      <c r="U178" s="1">
        <v>21</v>
      </c>
      <c r="V178" s="1">
        <v>1600</v>
      </c>
    </row>
    <row r="179" spans="1:22" x14ac:dyDescent="0.3">
      <c r="A179" s="1">
        <v>4476</v>
      </c>
      <c r="B179" s="3" t="s">
        <v>352</v>
      </c>
      <c r="C179" s="1" t="s">
        <v>353</v>
      </c>
      <c r="D179" s="1">
        <v>2023</v>
      </c>
      <c r="E179" s="1" t="s">
        <v>190</v>
      </c>
      <c r="F179" s="1" t="s">
        <v>40</v>
      </c>
      <c r="G179" s="1">
        <v>3</v>
      </c>
      <c r="H179" s="1">
        <v>12</v>
      </c>
      <c r="I179" s="1">
        <v>8</v>
      </c>
      <c r="J179" s="1">
        <v>9.1999999999999993</v>
      </c>
      <c r="K179" s="1">
        <v>6.6</v>
      </c>
      <c r="L179" s="1">
        <v>8.5</v>
      </c>
      <c r="M179" s="1">
        <v>33</v>
      </c>
      <c r="N179" s="1">
        <v>76</v>
      </c>
      <c r="O179" s="1">
        <v>1</v>
      </c>
      <c r="P179" s="1">
        <v>1</v>
      </c>
      <c r="Q179" s="1">
        <v>0.3</v>
      </c>
      <c r="R179" s="1">
        <v>0.7</v>
      </c>
      <c r="S179" s="1">
        <v>26</v>
      </c>
      <c r="T179" s="1">
        <v>140</v>
      </c>
      <c r="U179" s="1">
        <v>84</v>
      </c>
      <c r="V179" s="1">
        <v>540</v>
      </c>
    </row>
    <row r="180" spans="1:22" x14ac:dyDescent="0.3">
      <c r="A180" s="1">
        <v>4034</v>
      </c>
      <c r="B180" s="2" t="s">
        <v>216</v>
      </c>
      <c r="C180" s="1" t="s">
        <v>366</v>
      </c>
      <c r="D180" s="1">
        <v>2023</v>
      </c>
      <c r="E180" s="1" t="s">
        <v>190</v>
      </c>
      <c r="F180" s="1" t="s">
        <v>40</v>
      </c>
      <c r="G180" s="1">
        <v>8</v>
      </c>
      <c r="H180" s="1">
        <v>15</v>
      </c>
      <c r="I180" s="1">
        <v>8.8000000000000007</v>
      </c>
      <c r="J180" s="1">
        <v>9.6999999999999993</v>
      </c>
      <c r="K180" s="1">
        <v>7.6</v>
      </c>
      <c r="L180" s="1">
        <v>8.1999999999999993</v>
      </c>
      <c r="M180" s="1">
        <v>130</v>
      </c>
      <c r="N180" s="1">
        <v>286</v>
      </c>
      <c r="O180" s="1">
        <v>1</v>
      </c>
      <c r="P180" s="1">
        <v>1</v>
      </c>
      <c r="Q180" s="1">
        <v>0.5</v>
      </c>
      <c r="R180" s="1">
        <v>3.1</v>
      </c>
      <c r="S180" s="1">
        <v>2</v>
      </c>
      <c r="T180" s="1">
        <v>68</v>
      </c>
      <c r="U180" s="1">
        <v>94</v>
      </c>
      <c r="V180" s="1">
        <v>5400</v>
      </c>
    </row>
    <row r="181" spans="1:22" x14ac:dyDescent="0.3">
      <c r="A181" s="1">
        <v>4035</v>
      </c>
      <c r="B181" s="3" t="s">
        <v>217</v>
      </c>
      <c r="C181" s="1" t="s">
        <v>366</v>
      </c>
      <c r="D181" s="1">
        <v>2023</v>
      </c>
      <c r="E181" s="1" t="s">
        <v>190</v>
      </c>
      <c r="F181" s="1" t="s">
        <v>40</v>
      </c>
      <c r="G181" s="1">
        <v>8</v>
      </c>
      <c r="H181" s="1">
        <v>14</v>
      </c>
      <c r="I181" s="1">
        <v>8.5</v>
      </c>
      <c r="J181" s="1">
        <v>9.6999999999999993</v>
      </c>
      <c r="K181" s="1">
        <v>7.5</v>
      </c>
      <c r="L181" s="1">
        <v>8.1999999999999993</v>
      </c>
      <c r="M181" s="1">
        <v>129</v>
      </c>
      <c r="N181" s="1">
        <v>292</v>
      </c>
      <c r="O181" s="1">
        <v>1</v>
      </c>
      <c r="P181" s="1">
        <v>1</v>
      </c>
      <c r="Q181" s="1">
        <v>0.6</v>
      </c>
      <c r="R181" s="1">
        <v>2.6</v>
      </c>
      <c r="S181" s="1">
        <v>2</v>
      </c>
      <c r="T181" s="1">
        <v>93</v>
      </c>
      <c r="U181" s="1">
        <v>63</v>
      </c>
      <c r="V181" s="1">
        <v>9200</v>
      </c>
    </row>
    <row r="182" spans="1:22" x14ac:dyDescent="0.3">
      <c r="A182" s="1">
        <v>4462</v>
      </c>
      <c r="B182" s="2" t="s">
        <v>218</v>
      </c>
      <c r="C182" s="1" t="s">
        <v>366</v>
      </c>
      <c r="D182" s="1">
        <v>2023</v>
      </c>
      <c r="E182" s="1" t="s">
        <v>190</v>
      </c>
      <c r="F182" s="1" t="s">
        <v>40</v>
      </c>
      <c r="G182" s="1">
        <v>9</v>
      </c>
      <c r="H182" s="1">
        <v>19</v>
      </c>
      <c r="I182" s="1">
        <v>7</v>
      </c>
      <c r="J182" s="1">
        <v>8.1999999999999993</v>
      </c>
      <c r="K182" s="1">
        <v>7.6</v>
      </c>
      <c r="L182" s="1">
        <v>8.4</v>
      </c>
      <c r="M182" s="1">
        <v>104</v>
      </c>
      <c r="N182" s="1">
        <v>682</v>
      </c>
      <c r="O182" s="1">
        <v>1</v>
      </c>
      <c r="P182" s="1">
        <v>1</v>
      </c>
      <c r="Q182" s="1">
        <v>0.3</v>
      </c>
      <c r="R182" s="1">
        <v>2.6</v>
      </c>
      <c r="S182" s="1">
        <v>5</v>
      </c>
      <c r="T182" s="1">
        <v>34</v>
      </c>
      <c r="U182" s="1">
        <v>26</v>
      </c>
      <c r="V182" s="1">
        <v>1600</v>
      </c>
    </row>
    <row r="183" spans="1:22" x14ac:dyDescent="0.3">
      <c r="A183" s="1">
        <v>3867</v>
      </c>
      <c r="B183" s="3" t="s">
        <v>219</v>
      </c>
      <c r="C183" s="1" t="s">
        <v>366</v>
      </c>
      <c r="D183" s="1">
        <v>2023</v>
      </c>
      <c r="E183" s="1" t="s">
        <v>190</v>
      </c>
      <c r="F183" s="1" t="s">
        <v>40</v>
      </c>
      <c r="G183" s="1">
        <v>3</v>
      </c>
      <c r="H183" s="1">
        <v>18</v>
      </c>
      <c r="I183" s="1">
        <v>7.6</v>
      </c>
      <c r="J183" s="1">
        <v>8.5</v>
      </c>
      <c r="K183" s="1">
        <v>7.2</v>
      </c>
      <c r="L183" s="1">
        <v>7.9</v>
      </c>
      <c r="M183" s="1">
        <v>110</v>
      </c>
      <c r="N183" s="1">
        <v>218</v>
      </c>
      <c r="O183" s="1">
        <v>1</v>
      </c>
      <c r="P183" s="1">
        <v>1</v>
      </c>
      <c r="Q183" s="1">
        <v>0.3</v>
      </c>
      <c r="R183" s="1">
        <v>1.6</v>
      </c>
      <c r="S183" s="1">
        <v>22</v>
      </c>
      <c r="T183" s="1">
        <v>150</v>
      </c>
      <c r="U183" s="1">
        <v>79</v>
      </c>
      <c r="V183" s="1">
        <v>540</v>
      </c>
    </row>
    <row r="184" spans="1:22" x14ac:dyDescent="0.3">
      <c r="A184" s="1">
        <v>1870</v>
      </c>
      <c r="B184" s="2" t="s">
        <v>354</v>
      </c>
      <c r="C184" s="1" t="s">
        <v>355</v>
      </c>
      <c r="D184" s="1">
        <v>2023</v>
      </c>
      <c r="E184" s="1" t="s">
        <v>190</v>
      </c>
      <c r="F184" s="1" t="s">
        <v>40</v>
      </c>
      <c r="G184" s="1">
        <v>8</v>
      </c>
      <c r="H184" s="1">
        <v>11</v>
      </c>
      <c r="I184" s="1">
        <v>4.3</v>
      </c>
      <c r="J184" s="1">
        <v>8.6999999999999993</v>
      </c>
      <c r="K184" s="1">
        <v>7.4</v>
      </c>
      <c r="L184" s="1">
        <v>8.3000000000000007</v>
      </c>
      <c r="M184" s="1">
        <v>253</v>
      </c>
      <c r="N184" s="1">
        <v>1284</v>
      </c>
      <c r="O184" s="1">
        <v>1</v>
      </c>
      <c r="P184" s="1">
        <v>26</v>
      </c>
      <c r="Q184" s="1">
        <v>0.5</v>
      </c>
      <c r="R184" s="1">
        <v>15.7</v>
      </c>
      <c r="S184" s="1">
        <v>2</v>
      </c>
      <c r="T184" s="1">
        <v>1600</v>
      </c>
      <c r="U184" s="1">
        <v>21</v>
      </c>
      <c r="V184" s="1">
        <v>1600</v>
      </c>
    </row>
    <row r="185" spans="1:22" x14ac:dyDescent="0.3">
      <c r="A185" s="1">
        <v>3875</v>
      </c>
      <c r="B185" s="3" t="s">
        <v>221</v>
      </c>
      <c r="C185" s="1" t="s">
        <v>366</v>
      </c>
      <c r="D185" s="1">
        <v>2023</v>
      </c>
      <c r="E185" s="1" t="s">
        <v>190</v>
      </c>
      <c r="F185" s="1" t="s">
        <v>40</v>
      </c>
      <c r="G185" s="1">
        <v>7</v>
      </c>
      <c r="H185" s="1">
        <v>9</v>
      </c>
      <c r="I185" s="1">
        <v>7.2</v>
      </c>
      <c r="J185" s="1">
        <v>8.8000000000000007</v>
      </c>
      <c r="K185" s="1">
        <v>7.7</v>
      </c>
      <c r="L185" s="1">
        <v>8.3000000000000007</v>
      </c>
      <c r="M185" s="1">
        <v>223</v>
      </c>
      <c r="N185" s="1">
        <v>853</v>
      </c>
      <c r="O185" s="1">
        <v>1</v>
      </c>
      <c r="P185" s="1">
        <v>7.5</v>
      </c>
      <c r="Q185" s="1">
        <v>2.8</v>
      </c>
      <c r="R185" s="1">
        <v>10.4</v>
      </c>
      <c r="S185" s="1">
        <v>2</v>
      </c>
      <c r="T185" s="1">
        <v>33</v>
      </c>
      <c r="U185" s="1">
        <v>24</v>
      </c>
      <c r="V185" s="1">
        <v>540</v>
      </c>
    </row>
    <row r="186" spans="1:22" x14ac:dyDescent="0.3">
      <c r="A186" s="1">
        <v>4480</v>
      </c>
      <c r="B186" s="2" t="s">
        <v>222</v>
      </c>
      <c r="C186" s="1" t="s">
        <v>366</v>
      </c>
      <c r="D186" s="1">
        <v>2023</v>
      </c>
      <c r="E186" s="1" t="s">
        <v>190</v>
      </c>
      <c r="F186" s="1" t="s">
        <v>40</v>
      </c>
      <c r="G186" s="1">
        <v>6</v>
      </c>
      <c r="H186" s="1">
        <v>8</v>
      </c>
      <c r="I186" s="1">
        <v>6.8</v>
      </c>
      <c r="J186" s="1">
        <v>8.5</v>
      </c>
      <c r="K186" s="1">
        <v>7.7</v>
      </c>
      <c r="L186" s="1">
        <v>8.3000000000000007</v>
      </c>
      <c r="M186" s="1">
        <v>221</v>
      </c>
      <c r="N186" s="1">
        <v>824</v>
      </c>
      <c r="O186" s="1">
        <v>1</v>
      </c>
      <c r="P186" s="1">
        <v>2.6</v>
      </c>
      <c r="Q186" s="1">
        <v>1.9</v>
      </c>
      <c r="R186" s="1">
        <v>8.8000000000000007</v>
      </c>
      <c r="S186" s="1">
        <v>2</v>
      </c>
      <c r="T186" s="1">
        <v>24</v>
      </c>
      <c r="U186" s="1">
        <v>26</v>
      </c>
      <c r="V186" s="1">
        <v>350</v>
      </c>
    </row>
    <row r="187" spans="1:22" x14ac:dyDescent="0.3">
      <c r="A187" s="1">
        <v>2789</v>
      </c>
      <c r="B187" s="3" t="s">
        <v>356</v>
      </c>
      <c r="C187" s="1" t="s">
        <v>357</v>
      </c>
      <c r="D187" s="1">
        <v>2023</v>
      </c>
      <c r="E187" s="1" t="s">
        <v>190</v>
      </c>
      <c r="F187" s="1" t="s">
        <v>224</v>
      </c>
      <c r="G187" s="1">
        <v>26</v>
      </c>
      <c r="H187" s="1">
        <v>36</v>
      </c>
      <c r="I187" s="1">
        <v>4.4000000000000004</v>
      </c>
      <c r="J187" s="1">
        <v>5.2</v>
      </c>
      <c r="K187" s="1">
        <v>7.2</v>
      </c>
      <c r="L187" s="1">
        <v>8.1</v>
      </c>
      <c r="M187" s="1">
        <v>1245</v>
      </c>
      <c r="N187" s="1">
        <v>1750</v>
      </c>
      <c r="O187" s="1">
        <v>7.2</v>
      </c>
      <c r="P187" s="1">
        <v>13</v>
      </c>
      <c r="Q187" s="1">
        <v>0.3</v>
      </c>
      <c r="R187" s="1">
        <v>2.4</v>
      </c>
      <c r="S187" s="1">
        <v>20</v>
      </c>
      <c r="T187" s="1">
        <v>150</v>
      </c>
      <c r="U187" s="1">
        <v>150</v>
      </c>
      <c r="V187" s="1">
        <v>900</v>
      </c>
    </row>
    <row r="188" spans="1:22" x14ac:dyDescent="0.3">
      <c r="A188" s="1">
        <v>2178</v>
      </c>
      <c r="B188" s="2" t="s">
        <v>358</v>
      </c>
      <c r="C188" s="1" t="s">
        <v>359</v>
      </c>
      <c r="D188" s="1">
        <v>2023</v>
      </c>
      <c r="E188" s="1" t="s">
        <v>190</v>
      </c>
      <c r="F188" s="1" t="s">
        <v>224</v>
      </c>
      <c r="G188" s="1">
        <v>20</v>
      </c>
      <c r="H188" s="1">
        <v>29</v>
      </c>
      <c r="I188" s="1">
        <v>0.3</v>
      </c>
      <c r="J188" s="1">
        <v>6</v>
      </c>
      <c r="K188" s="1">
        <v>7.4</v>
      </c>
      <c r="L188" s="1">
        <v>8</v>
      </c>
      <c r="M188" s="1">
        <v>762</v>
      </c>
      <c r="N188" s="1">
        <v>1066</v>
      </c>
      <c r="O188" s="1">
        <v>3</v>
      </c>
      <c r="P188" s="1">
        <v>18</v>
      </c>
      <c r="Q188" s="1">
        <v>0.7</v>
      </c>
      <c r="R188" s="1">
        <v>4.9000000000000004</v>
      </c>
      <c r="S188" s="1">
        <v>4</v>
      </c>
      <c r="T188" s="1">
        <v>170</v>
      </c>
      <c r="U188" s="1">
        <v>45</v>
      </c>
      <c r="V188" s="1">
        <v>180</v>
      </c>
    </row>
    <row r="189" spans="1:22" x14ac:dyDescent="0.3">
      <c r="A189" s="1">
        <v>2790</v>
      </c>
      <c r="B189" s="3" t="s">
        <v>360</v>
      </c>
      <c r="C189" s="1" t="s">
        <v>361</v>
      </c>
      <c r="D189" s="1">
        <v>2023</v>
      </c>
      <c r="E189" s="1" t="s">
        <v>190</v>
      </c>
      <c r="F189" s="1" t="s">
        <v>224</v>
      </c>
      <c r="G189" s="1">
        <v>26</v>
      </c>
      <c r="H189" s="1">
        <v>31</v>
      </c>
      <c r="I189" s="1">
        <v>7</v>
      </c>
      <c r="J189" s="1">
        <v>7.9</v>
      </c>
      <c r="K189" s="1">
        <v>6</v>
      </c>
      <c r="L189" s="1">
        <v>7.2</v>
      </c>
      <c r="M189" s="1">
        <v>245</v>
      </c>
      <c r="N189" s="1">
        <v>5476</v>
      </c>
      <c r="O189" s="1">
        <v>1.8</v>
      </c>
      <c r="P189" s="1">
        <v>3</v>
      </c>
      <c r="Q189" s="1">
        <v>0.3</v>
      </c>
      <c r="R189" s="1">
        <v>1.7</v>
      </c>
      <c r="S189" s="1">
        <v>6</v>
      </c>
      <c r="T189" s="1">
        <v>11</v>
      </c>
      <c r="U189" s="1">
        <v>21</v>
      </c>
      <c r="V189" s="1">
        <v>43</v>
      </c>
    </row>
    <row r="190" spans="1:22" x14ac:dyDescent="0.3">
      <c r="A190" s="1">
        <v>3923</v>
      </c>
      <c r="B190" s="2" t="s">
        <v>227</v>
      </c>
      <c r="C190" s="1" t="s">
        <v>366</v>
      </c>
      <c r="D190" s="1">
        <v>2023</v>
      </c>
      <c r="E190" s="1" t="s">
        <v>190</v>
      </c>
      <c r="F190" s="1" t="s">
        <v>228</v>
      </c>
      <c r="G190" s="1">
        <v>23</v>
      </c>
      <c r="H190" s="1">
        <v>31</v>
      </c>
      <c r="I190" s="1">
        <v>1.2</v>
      </c>
      <c r="J190" s="1">
        <v>6.8</v>
      </c>
      <c r="K190" s="1">
        <v>6.9</v>
      </c>
      <c r="L190" s="1">
        <v>7.7</v>
      </c>
      <c r="M190" s="1">
        <v>328</v>
      </c>
      <c r="N190" s="1">
        <v>717</v>
      </c>
      <c r="O190" s="1">
        <v>4.3</v>
      </c>
      <c r="P190" s="1">
        <v>8</v>
      </c>
      <c r="Q190" s="1">
        <v>0.3</v>
      </c>
      <c r="R190" s="1">
        <v>9.6999999999999993</v>
      </c>
      <c r="S190" s="1">
        <v>3300</v>
      </c>
      <c r="T190" s="1">
        <v>54000</v>
      </c>
      <c r="U190" s="1">
        <v>7900</v>
      </c>
      <c r="V190" s="1">
        <v>160000</v>
      </c>
    </row>
    <row r="191" spans="1:22" x14ac:dyDescent="0.3">
      <c r="A191" s="1">
        <v>20046</v>
      </c>
      <c r="B191" s="1" t="s">
        <v>229</v>
      </c>
      <c r="C191" s="1" t="s">
        <v>366</v>
      </c>
      <c r="D191" s="1">
        <v>2023</v>
      </c>
      <c r="E191" s="1" t="s">
        <v>230</v>
      </c>
      <c r="F191" s="1" t="s">
        <v>231</v>
      </c>
      <c r="G191" s="1">
        <v>25</v>
      </c>
      <c r="H191" s="1">
        <v>39</v>
      </c>
      <c r="I191" s="1">
        <v>0.3</v>
      </c>
      <c r="J191" s="1">
        <v>6</v>
      </c>
      <c r="K191" s="1">
        <v>6.7</v>
      </c>
      <c r="L191" s="1">
        <v>7.9</v>
      </c>
      <c r="M191" s="1">
        <v>1357</v>
      </c>
      <c r="N191" s="1">
        <v>1563</v>
      </c>
      <c r="O191" s="1">
        <v>4</v>
      </c>
      <c r="P191" s="1">
        <v>18</v>
      </c>
      <c r="Q191" s="1">
        <v>0.3</v>
      </c>
      <c r="R191" s="1">
        <v>1</v>
      </c>
      <c r="S191" s="1">
        <v>2</v>
      </c>
      <c r="T191" s="1">
        <v>11000</v>
      </c>
      <c r="U191" s="1">
        <v>2</v>
      </c>
      <c r="V191" s="1">
        <v>22000</v>
      </c>
    </row>
    <row r="192" spans="1:22" x14ac:dyDescent="0.3">
      <c r="A192" s="1">
        <v>3054</v>
      </c>
      <c r="B192" s="3" t="s">
        <v>362</v>
      </c>
      <c r="C192" s="1" t="s">
        <v>363</v>
      </c>
      <c r="D192" s="1">
        <v>2023</v>
      </c>
      <c r="E192" s="1" t="s">
        <v>190</v>
      </c>
      <c r="F192" s="1" t="s">
        <v>233</v>
      </c>
      <c r="G192" s="1">
        <v>25</v>
      </c>
      <c r="H192" s="1">
        <v>29</v>
      </c>
      <c r="I192" s="1">
        <v>1.6</v>
      </c>
      <c r="J192" s="1">
        <v>6</v>
      </c>
      <c r="K192" s="1">
        <v>8.5</v>
      </c>
      <c r="L192" s="1">
        <v>11.2</v>
      </c>
      <c r="M192" s="1">
        <v>599</v>
      </c>
      <c r="N192" s="1">
        <v>1043</v>
      </c>
      <c r="O192" s="1">
        <v>1</v>
      </c>
      <c r="P192" s="1">
        <v>5.4</v>
      </c>
      <c r="Q192" s="1">
        <v>0.9</v>
      </c>
      <c r="R192" s="1">
        <v>3.8</v>
      </c>
      <c r="S192" s="1">
        <v>2</v>
      </c>
      <c r="T192" s="1">
        <v>17</v>
      </c>
      <c r="U192" s="1">
        <v>17</v>
      </c>
      <c r="V192" s="1">
        <v>280</v>
      </c>
    </row>
    <row r="193" spans="1:22" x14ac:dyDescent="0.3">
      <c r="A193" s="1">
        <v>4665</v>
      </c>
      <c r="B193" s="2" t="s">
        <v>365</v>
      </c>
      <c r="C193" s="1" t="s">
        <v>364</v>
      </c>
      <c r="D193" s="1">
        <v>2023</v>
      </c>
      <c r="E193" s="1" t="s">
        <v>190</v>
      </c>
      <c r="F193" s="1" t="s">
        <v>233</v>
      </c>
      <c r="G193" s="1">
        <v>25</v>
      </c>
      <c r="H193" s="1">
        <v>28</v>
      </c>
      <c r="I193" s="1">
        <v>2.8</v>
      </c>
      <c r="J193" s="1">
        <v>6.1</v>
      </c>
      <c r="K193" s="1">
        <v>7.5</v>
      </c>
      <c r="L193" s="1">
        <v>8.8000000000000007</v>
      </c>
      <c r="M193" s="1">
        <v>522</v>
      </c>
      <c r="N193" s="1">
        <v>856</v>
      </c>
      <c r="O193" s="1">
        <v>1.8</v>
      </c>
      <c r="P193" s="1">
        <v>3.2</v>
      </c>
      <c r="Q193" s="1">
        <v>0.4</v>
      </c>
      <c r="R193" s="1">
        <v>17</v>
      </c>
      <c r="S193" s="1">
        <v>2</v>
      </c>
      <c r="T193" s="1">
        <v>2</v>
      </c>
      <c r="U193" s="1">
        <v>26</v>
      </c>
      <c r="V193" s="1">
        <v>58</v>
      </c>
    </row>
    <row r="194" spans="1:22" x14ac:dyDescent="0.3">
      <c r="A194" s="1">
        <v>3055</v>
      </c>
      <c r="B194" s="1" t="s">
        <v>473</v>
      </c>
      <c r="C194" s="1" t="s">
        <v>474</v>
      </c>
      <c r="D194" s="1">
        <v>2023</v>
      </c>
      <c r="E194" s="1" t="s">
        <v>230</v>
      </c>
      <c r="F194" s="1" t="s">
        <v>233</v>
      </c>
      <c r="G194" s="1">
        <v>25</v>
      </c>
      <c r="H194" s="1">
        <v>31</v>
      </c>
      <c r="I194" s="1">
        <v>0.9</v>
      </c>
      <c r="J194" s="1">
        <v>4.5999999999999996</v>
      </c>
      <c r="K194" s="1">
        <v>6.9</v>
      </c>
      <c r="L194" s="1">
        <v>8.1999999999999993</v>
      </c>
      <c r="M194" s="1">
        <v>1322</v>
      </c>
      <c r="N194" s="1">
        <v>1659</v>
      </c>
      <c r="O194" s="1">
        <v>4.4000000000000004</v>
      </c>
      <c r="P194" s="1">
        <v>30</v>
      </c>
      <c r="Q194" s="1">
        <v>4.2</v>
      </c>
      <c r="R194" s="1">
        <v>8</v>
      </c>
      <c r="S194" s="1">
        <v>4</v>
      </c>
      <c r="T194" s="1">
        <v>46</v>
      </c>
      <c r="U194" s="1">
        <v>220</v>
      </c>
      <c r="V194" s="1">
        <v>920</v>
      </c>
    </row>
    <row r="195" spans="1:22" x14ac:dyDescent="0.3">
      <c r="A195" s="1">
        <v>3050</v>
      </c>
      <c r="B195" s="1" t="s">
        <v>477</v>
      </c>
      <c r="C195" s="1" t="s">
        <v>478</v>
      </c>
      <c r="D195" s="1">
        <v>2023</v>
      </c>
      <c r="E195" s="1" t="s">
        <v>193</v>
      </c>
      <c r="F195" s="1" t="s">
        <v>237</v>
      </c>
      <c r="G195" s="1">
        <v>18</v>
      </c>
      <c r="H195" s="1">
        <v>26</v>
      </c>
      <c r="I195" s="1">
        <v>0.3</v>
      </c>
      <c r="J195" s="1">
        <v>11</v>
      </c>
      <c r="K195" s="1">
        <v>7.1</v>
      </c>
      <c r="L195" s="1">
        <v>7.5</v>
      </c>
      <c r="M195" s="1">
        <v>160</v>
      </c>
      <c r="N195" s="1">
        <v>201</v>
      </c>
      <c r="O195" s="1">
        <v>1</v>
      </c>
      <c r="P195" s="1">
        <v>1</v>
      </c>
      <c r="Q195" s="1">
        <v>0.3</v>
      </c>
      <c r="R195" s="1">
        <v>0.3</v>
      </c>
      <c r="S195" s="1">
        <v>2</v>
      </c>
      <c r="T195" s="1">
        <v>2</v>
      </c>
      <c r="U195" s="1">
        <v>2</v>
      </c>
      <c r="V195" s="1">
        <v>2</v>
      </c>
    </row>
    <row r="197" spans="1:22" x14ac:dyDescent="0.3">
      <c r="M197" s="8"/>
      <c r="N197" s="8"/>
    </row>
    <row r="198" spans="1:22" x14ac:dyDescent="0.3">
      <c r="M198" s="8"/>
    </row>
    <row r="274" spans="3:3" x14ac:dyDescent="0.3">
      <c r="C274" t="s">
        <v>461</v>
      </c>
    </row>
    <row r="281" spans="3:3" x14ac:dyDescent="0.3">
      <c r="C281" t="s">
        <v>461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B16E-514E-4A44-B761-7D7D97BB7657}">
  <dimension ref="A1:U258"/>
  <sheetViews>
    <sheetView topLeftCell="M1" zoomScale="78" zoomScaleNormal="60" workbookViewId="0">
      <selection activeCell="I175" sqref="I175"/>
    </sheetView>
  </sheetViews>
  <sheetFormatPr defaultRowHeight="14.4" x14ac:dyDescent="0.3"/>
  <cols>
    <col min="1" max="1" width="10.77734375" customWidth="1"/>
    <col min="2" max="2" width="42" customWidth="1"/>
    <col min="3" max="3" width="65" bestFit="1" customWidth="1"/>
    <col min="4" max="4" width="13.5546875" customWidth="1"/>
    <col min="5" max="5" width="16.21875" customWidth="1"/>
    <col min="6" max="6" width="23.6640625" bestFit="1" customWidth="1"/>
    <col min="7" max="7" width="21.5546875" customWidth="1"/>
    <col min="8" max="8" width="25.33203125" bestFit="1" customWidth="1"/>
    <col min="9" max="9" width="21.77734375" bestFit="1" customWidth="1"/>
    <col min="10" max="10" width="13.6640625" bestFit="1" customWidth="1"/>
    <col min="11" max="11" width="34.77734375" bestFit="1" customWidth="1"/>
    <col min="12" max="12" width="20.6640625" bestFit="1" customWidth="1"/>
    <col min="13" max="13" width="32.109375" customWidth="1"/>
    <col min="14" max="14" width="32.44140625" customWidth="1"/>
    <col min="15" max="15" width="23.109375" customWidth="1"/>
    <col min="16" max="16" width="18" customWidth="1"/>
    <col min="17" max="17" width="21.109375" customWidth="1"/>
    <col min="18" max="18" width="21.44140625" customWidth="1"/>
    <col min="19" max="19" width="31.6640625" customWidth="1"/>
    <col min="20" max="20" width="32" customWidth="1"/>
    <col min="21" max="21" width="31.6640625" customWidth="1"/>
    <col min="22" max="22" width="32" customWidth="1"/>
  </cols>
  <sheetData>
    <row r="1" spans="1:21" x14ac:dyDescent="0.3">
      <c r="A1" t="s">
        <v>0</v>
      </c>
      <c r="B1" t="s">
        <v>1</v>
      </c>
      <c r="C1" t="s">
        <v>2</v>
      </c>
      <c r="D1" t="s">
        <v>3</v>
      </c>
      <c r="E1" t="s">
        <v>4</v>
      </c>
      <c r="F1" t="s">
        <v>5</v>
      </c>
      <c r="G1" t="s">
        <v>485</v>
      </c>
      <c r="H1" t="s">
        <v>486</v>
      </c>
      <c r="I1" t="s">
        <v>487</v>
      </c>
      <c r="J1" t="s">
        <v>488</v>
      </c>
      <c r="K1" t="s">
        <v>489</v>
      </c>
      <c r="L1" t="s">
        <v>490</v>
      </c>
      <c r="M1" t="s">
        <v>491</v>
      </c>
      <c r="N1" t="s">
        <v>492</v>
      </c>
      <c r="O1" t="s">
        <v>493</v>
      </c>
      <c r="P1" t="s">
        <v>494</v>
      </c>
      <c r="Q1" t="s">
        <v>495</v>
      </c>
      <c r="R1" t="s">
        <v>496</v>
      </c>
      <c r="S1" t="s">
        <v>497</v>
      </c>
      <c r="T1" t="s">
        <v>498</v>
      </c>
      <c r="U1" t="s">
        <v>499</v>
      </c>
    </row>
    <row r="2" spans="1:21" x14ac:dyDescent="0.3">
      <c r="A2" s="1">
        <v>4085</v>
      </c>
      <c r="B2" s="2" t="s">
        <v>416</v>
      </c>
      <c r="C2" s="1" t="s">
        <v>462</v>
      </c>
      <c r="D2" s="1">
        <v>2022</v>
      </c>
      <c r="E2" s="1" t="s">
        <v>25</v>
      </c>
      <c r="F2" s="1" t="s">
        <v>26</v>
      </c>
      <c r="G2" s="11">
        <v>20.5</v>
      </c>
      <c r="H2" s="11">
        <v>4.25</v>
      </c>
      <c r="I2" s="11">
        <v>6.55</v>
      </c>
      <c r="J2" s="11">
        <f>AVERAGE(429,1123)</f>
        <v>776</v>
      </c>
      <c r="K2" s="11">
        <v>2.4500000000000002</v>
      </c>
      <c r="L2" s="11">
        <f>AVERAGE(0.34,1.34)</f>
        <v>0.84000000000000008</v>
      </c>
      <c r="M2" s="11">
        <f>AVERAGE(0.64,3.83)</f>
        <v>2.2349999999999999</v>
      </c>
      <c r="N2" s="11">
        <f>AVERAGE(34.44,134.4)</f>
        <v>84.42</v>
      </c>
      <c r="O2" s="9">
        <v>29.1666666666666</v>
      </c>
      <c r="P2" s="9">
        <v>0</v>
      </c>
      <c r="Q2" s="9">
        <v>0</v>
      </c>
      <c r="R2" s="9">
        <v>0</v>
      </c>
      <c r="S2" s="9">
        <v>0</v>
      </c>
      <c r="T2" s="9">
        <v>9.7222222222222197</v>
      </c>
      <c r="U2" t="s">
        <v>500</v>
      </c>
    </row>
    <row r="3" spans="1:21" x14ac:dyDescent="0.3">
      <c r="A3" s="1">
        <v>2396</v>
      </c>
      <c r="B3" s="3" t="s">
        <v>416</v>
      </c>
      <c r="C3" s="1" t="s">
        <v>417</v>
      </c>
      <c r="D3" s="1">
        <v>2022</v>
      </c>
      <c r="E3" s="1" t="s">
        <v>25</v>
      </c>
      <c r="F3" s="1" t="s">
        <v>26</v>
      </c>
      <c r="G3" s="11">
        <v>19</v>
      </c>
      <c r="H3" s="11">
        <v>6.55</v>
      </c>
      <c r="I3" s="11">
        <v>7.55</v>
      </c>
      <c r="J3" s="11">
        <f>AVERAGE(429,1123)</f>
        <v>776</v>
      </c>
      <c r="K3" s="11">
        <v>2.5499999999999998</v>
      </c>
      <c r="L3" s="11">
        <f t="shared" ref="L3:L13" si="0">AVERAGE(0.34,1.34)</f>
        <v>0.84000000000000008</v>
      </c>
      <c r="M3" s="11">
        <f t="shared" ref="M3:M13" si="1">AVERAGE(0.64,3.83)</f>
        <v>2.2349999999999999</v>
      </c>
      <c r="N3" s="11">
        <f t="shared" ref="N3:N13" si="2">AVERAGE(34.44,134.4)</f>
        <v>84.42</v>
      </c>
      <c r="O3" s="9">
        <v>0</v>
      </c>
      <c r="P3" s="9">
        <v>0</v>
      </c>
      <c r="Q3" s="9">
        <v>0</v>
      </c>
      <c r="R3" s="9">
        <v>0</v>
      </c>
      <c r="S3" s="9">
        <v>0</v>
      </c>
      <c r="T3" s="9">
        <v>0</v>
      </c>
      <c r="U3" t="s">
        <v>500</v>
      </c>
    </row>
    <row r="4" spans="1:21" x14ac:dyDescent="0.3">
      <c r="A4" s="1">
        <v>2401</v>
      </c>
      <c r="B4" s="2" t="s">
        <v>418</v>
      </c>
      <c r="C4" s="1" t="s">
        <v>419</v>
      </c>
      <c r="D4" s="1">
        <v>2022</v>
      </c>
      <c r="E4" s="1" t="s">
        <v>25</v>
      </c>
      <c r="F4" s="1" t="s">
        <v>26</v>
      </c>
      <c r="G4" s="11">
        <v>26.5</v>
      </c>
      <c r="H4" s="11">
        <v>6.1999999999999904</v>
      </c>
      <c r="I4" s="11">
        <v>7.65</v>
      </c>
      <c r="J4" s="11">
        <v>206</v>
      </c>
      <c r="K4" s="11">
        <v>1.45</v>
      </c>
      <c r="L4" s="11">
        <f t="shared" si="0"/>
        <v>0.84000000000000008</v>
      </c>
      <c r="M4" s="11">
        <f t="shared" si="1"/>
        <v>2.2349999999999999</v>
      </c>
      <c r="N4" s="11">
        <f t="shared" si="2"/>
        <v>84.42</v>
      </c>
      <c r="O4" s="9">
        <v>0</v>
      </c>
      <c r="P4" s="9">
        <v>0</v>
      </c>
      <c r="Q4" s="9">
        <v>0</v>
      </c>
      <c r="R4" s="9">
        <v>0</v>
      </c>
      <c r="S4" s="9">
        <v>0</v>
      </c>
      <c r="T4" s="9">
        <v>0</v>
      </c>
      <c r="U4" t="s">
        <v>500</v>
      </c>
    </row>
    <row r="5" spans="1:21" x14ac:dyDescent="0.3">
      <c r="A5" s="1">
        <v>3554</v>
      </c>
      <c r="B5" s="3" t="s">
        <v>404</v>
      </c>
      <c r="C5" s="1" t="s">
        <v>399</v>
      </c>
      <c r="D5" s="1">
        <v>2022</v>
      </c>
      <c r="E5" s="1" t="s">
        <v>25</v>
      </c>
      <c r="F5" s="1" t="s">
        <v>26</v>
      </c>
      <c r="G5" s="11">
        <v>26.5</v>
      </c>
      <c r="H5" s="11">
        <v>7.6</v>
      </c>
      <c r="I5" s="11">
        <v>7.4499999999999904</v>
      </c>
      <c r="J5" s="11">
        <v>776</v>
      </c>
      <c r="K5" s="11">
        <v>2.25</v>
      </c>
      <c r="L5" s="11">
        <f t="shared" si="0"/>
        <v>0.84000000000000008</v>
      </c>
      <c r="M5" s="11">
        <f t="shared" si="1"/>
        <v>2.2349999999999999</v>
      </c>
      <c r="N5" s="11">
        <f t="shared" si="2"/>
        <v>84.42</v>
      </c>
      <c r="O5" s="9">
        <v>0</v>
      </c>
      <c r="P5" s="9">
        <v>0</v>
      </c>
      <c r="Q5" s="9">
        <v>0</v>
      </c>
      <c r="R5" s="9">
        <v>0</v>
      </c>
      <c r="S5" s="9">
        <v>0</v>
      </c>
      <c r="T5" s="9">
        <v>0</v>
      </c>
      <c r="U5" t="s">
        <v>500</v>
      </c>
    </row>
    <row r="6" spans="1:21" x14ac:dyDescent="0.3">
      <c r="A6" s="1">
        <v>2390</v>
      </c>
      <c r="B6" s="2" t="s">
        <v>420</v>
      </c>
      <c r="C6" s="1" t="s">
        <v>463</v>
      </c>
      <c r="D6" s="1">
        <v>2022</v>
      </c>
      <c r="E6" s="1" t="s">
        <v>25</v>
      </c>
      <c r="F6" s="1" t="s">
        <v>26</v>
      </c>
      <c r="G6" s="11">
        <v>24.5</v>
      </c>
      <c r="H6" s="11">
        <v>7.7</v>
      </c>
      <c r="I6" s="11">
        <v>7.6</v>
      </c>
      <c r="J6" s="11">
        <v>776</v>
      </c>
      <c r="K6" s="11">
        <v>1.65</v>
      </c>
      <c r="L6" s="11">
        <f t="shared" si="0"/>
        <v>0.84000000000000008</v>
      </c>
      <c r="M6" s="11">
        <f t="shared" si="1"/>
        <v>2.2349999999999999</v>
      </c>
      <c r="N6" s="11">
        <f t="shared" si="2"/>
        <v>84.42</v>
      </c>
      <c r="O6" s="9">
        <v>0</v>
      </c>
      <c r="P6" s="9">
        <v>0</v>
      </c>
      <c r="Q6" s="9">
        <v>0</v>
      </c>
      <c r="R6" s="9">
        <v>0</v>
      </c>
      <c r="S6" s="9">
        <v>0</v>
      </c>
      <c r="T6" s="9">
        <v>0</v>
      </c>
      <c r="U6" t="s">
        <v>500</v>
      </c>
    </row>
    <row r="7" spans="1:21" x14ac:dyDescent="0.3">
      <c r="A7" s="1">
        <v>4000</v>
      </c>
      <c r="B7" s="3" t="s">
        <v>481</v>
      </c>
      <c r="C7" s="1" t="s">
        <v>482</v>
      </c>
      <c r="D7" s="1">
        <v>2022</v>
      </c>
      <c r="E7" s="1" t="s">
        <v>25</v>
      </c>
      <c r="F7" s="1" t="s">
        <v>26</v>
      </c>
      <c r="G7" s="11">
        <v>22.5</v>
      </c>
      <c r="H7" s="11">
        <v>7</v>
      </c>
      <c r="I7" s="11">
        <v>7.35</v>
      </c>
      <c r="J7" s="11">
        <v>776</v>
      </c>
      <c r="K7" s="11">
        <v>2.9</v>
      </c>
      <c r="L7" s="11">
        <f t="shared" si="0"/>
        <v>0.84000000000000008</v>
      </c>
      <c r="M7" s="11">
        <f t="shared" si="1"/>
        <v>2.2349999999999999</v>
      </c>
      <c r="N7" s="11">
        <f t="shared" si="2"/>
        <v>84.42</v>
      </c>
      <c r="O7" s="9">
        <v>0</v>
      </c>
      <c r="P7" s="9">
        <v>0</v>
      </c>
      <c r="Q7" s="9">
        <v>0</v>
      </c>
      <c r="R7" s="9">
        <v>0</v>
      </c>
      <c r="S7" s="9">
        <v>0</v>
      </c>
      <c r="T7" s="9">
        <v>0</v>
      </c>
      <c r="U7" t="s">
        <v>500</v>
      </c>
    </row>
    <row r="8" spans="1:21" x14ac:dyDescent="0.3">
      <c r="A8" s="1">
        <v>2381</v>
      </c>
      <c r="B8" s="2" t="s">
        <v>421</v>
      </c>
      <c r="C8" s="1" t="s">
        <v>422</v>
      </c>
      <c r="D8" s="1">
        <v>2022</v>
      </c>
      <c r="E8" s="1" t="s">
        <v>25</v>
      </c>
      <c r="F8" s="1" t="s">
        <v>26</v>
      </c>
      <c r="G8" s="11">
        <v>26</v>
      </c>
      <c r="H8" s="11">
        <v>7.6999999999999904</v>
      </c>
      <c r="I8" s="11">
        <v>7.3</v>
      </c>
      <c r="J8" s="11">
        <v>776</v>
      </c>
      <c r="K8" s="11">
        <v>2.2000000000000002</v>
      </c>
      <c r="L8" s="11">
        <f t="shared" si="0"/>
        <v>0.84000000000000008</v>
      </c>
      <c r="M8" s="11">
        <f t="shared" si="1"/>
        <v>2.2349999999999999</v>
      </c>
      <c r="N8" s="11">
        <f t="shared" si="2"/>
        <v>84.42</v>
      </c>
      <c r="O8" s="9">
        <v>0</v>
      </c>
      <c r="P8" s="9">
        <v>0</v>
      </c>
      <c r="Q8" s="9">
        <v>0</v>
      </c>
      <c r="R8" s="9">
        <v>0</v>
      </c>
      <c r="S8" s="9">
        <v>0</v>
      </c>
      <c r="T8" s="9">
        <v>0</v>
      </c>
      <c r="U8" t="s">
        <v>500</v>
      </c>
    </row>
    <row r="9" spans="1:21" x14ac:dyDescent="0.3">
      <c r="A9" s="1">
        <v>1034</v>
      </c>
      <c r="B9" s="3" t="s">
        <v>423</v>
      </c>
      <c r="C9" s="1" t="s">
        <v>464</v>
      </c>
      <c r="D9" s="1">
        <v>2022</v>
      </c>
      <c r="E9" s="1" t="s">
        <v>25</v>
      </c>
      <c r="F9" s="1" t="s">
        <v>26</v>
      </c>
      <c r="G9" s="11">
        <v>19.5</v>
      </c>
      <c r="H9" s="11">
        <v>8.15</v>
      </c>
      <c r="I9" s="11">
        <v>7.4</v>
      </c>
      <c r="J9" s="11">
        <v>776</v>
      </c>
      <c r="K9" s="11">
        <v>1.45</v>
      </c>
      <c r="L9" s="11">
        <f t="shared" si="0"/>
        <v>0.84000000000000008</v>
      </c>
      <c r="M9" s="11">
        <f t="shared" si="1"/>
        <v>2.2349999999999999</v>
      </c>
      <c r="N9" s="11">
        <f t="shared" si="2"/>
        <v>84.42</v>
      </c>
      <c r="O9" s="9">
        <v>0</v>
      </c>
      <c r="P9" s="9">
        <v>0</v>
      </c>
      <c r="Q9" s="9">
        <v>0</v>
      </c>
      <c r="R9" s="9">
        <v>0</v>
      </c>
      <c r="S9" s="9">
        <v>0</v>
      </c>
      <c r="T9" s="9">
        <v>0</v>
      </c>
      <c r="U9" t="s">
        <v>500</v>
      </c>
    </row>
    <row r="10" spans="1:21" x14ac:dyDescent="0.3">
      <c r="A10" s="1">
        <v>2392</v>
      </c>
      <c r="B10" s="2" t="s">
        <v>424</v>
      </c>
      <c r="C10" s="1" t="s">
        <v>425</v>
      </c>
      <c r="D10" s="1">
        <v>2022</v>
      </c>
      <c r="E10" s="1" t="s">
        <v>25</v>
      </c>
      <c r="F10" s="1" t="s">
        <v>26</v>
      </c>
      <c r="G10" s="11">
        <v>19.5</v>
      </c>
      <c r="H10" s="11">
        <v>7.55</v>
      </c>
      <c r="I10" s="11">
        <v>7.5</v>
      </c>
      <c r="J10" s="11">
        <v>776</v>
      </c>
      <c r="K10" s="11">
        <v>1.7999999999999901</v>
      </c>
      <c r="L10" s="11">
        <f t="shared" si="0"/>
        <v>0.84000000000000008</v>
      </c>
      <c r="M10" s="11">
        <f t="shared" si="1"/>
        <v>2.2349999999999999</v>
      </c>
      <c r="N10" s="11">
        <f t="shared" si="2"/>
        <v>84.42</v>
      </c>
      <c r="O10" s="9">
        <v>0</v>
      </c>
      <c r="P10" s="9">
        <v>0</v>
      </c>
      <c r="Q10" s="9">
        <v>0</v>
      </c>
      <c r="R10" s="9">
        <v>0</v>
      </c>
      <c r="S10" s="9">
        <v>0</v>
      </c>
      <c r="T10" s="9">
        <v>0</v>
      </c>
      <c r="U10" t="s">
        <v>500</v>
      </c>
    </row>
    <row r="11" spans="1:21" x14ac:dyDescent="0.3">
      <c r="A11" s="1">
        <v>3555</v>
      </c>
      <c r="B11" s="3" t="s">
        <v>405</v>
      </c>
      <c r="C11" s="1" t="s">
        <v>399</v>
      </c>
      <c r="D11" s="1">
        <v>2022</v>
      </c>
      <c r="E11" s="1" t="s">
        <v>25</v>
      </c>
      <c r="F11" s="1" t="s">
        <v>26</v>
      </c>
      <c r="G11" s="11">
        <v>25.5</v>
      </c>
      <c r="H11" s="11">
        <v>8.1</v>
      </c>
      <c r="I11" s="11">
        <v>7.5</v>
      </c>
      <c r="J11" s="11">
        <v>776</v>
      </c>
      <c r="K11" s="11">
        <v>2.25</v>
      </c>
      <c r="L11" s="11">
        <f t="shared" si="0"/>
        <v>0.84000000000000008</v>
      </c>
      <c r="M11" s="11">
        <f t="shared" si="1"/>
        <v>2.2349999999999999</v>
      </c>
      <c r="N11" s="11">
        <f t="shared" si="2"/>
        <v>84.42</v>
      </c>
      <c r="O11" s="9">
        <v>0</v>
      </c>
      <c r="P11" s="9">
        <v>0</v>
      </c>
      <c r="Q11" s="9">
        <v>0</v>
      </c>
      <c r="R11" s="9">
        <v>0</v>
      </c>
      <c r="S11" s="9">
        <v>0</v>
      </c>
      <c r="T11" s="9">
        <v>0</v>
      </c>
      <c r="U11" t="s">
        <v>500</v>
      </c>
    </row>
    <row r="12" spans="1:21" x14ac:dyDescent="0.3">
      <c r="A12" s="1">
        <v>4083</v>
      </c>
      <c r="B12" s="2" t="s">
        <v>406</v>
      </c>
      <c r="C12" s="1" t="s">
        <v>465</v>
      </c>
      <c r="D12" s="1">
        <v>2022</v>
      </c>
      <c r="E12" s="1" t="s">
        <v>25</v>
      </c>
      <c r="F12" s="1" t="s">
        <v>26</v>
      </c>
      <c r="G12" s="11">
        <v>20</v>
      </c>
      <c r="H12" s="11">
        <v>7.6</v>
      </c>
      <c r="I12" s="11">
        <v>7.3</v>
      </c>
      <c r="J12" s="11">
        <v>776</v>
      </c>
      <c r="K12" s="11">
        <v>2.25</v>
      </c>
      <c r="L12" s="11">
        <f t="shared" si="0"/>
        <v>0.84000000000000008</v>
      </c>
      <c r="M12" s="11">
        <f t="shared" si="1"/>
        <v>2.2349999999999999</v>
      </c>
      <c r="N12" s="11">
        <f t="shared" si="2"/>
        <v>84.42</v>
      </c>
      <c r="O12" s="9">
        <v>0</v>
      </c>
      <c r="P12" s="9">
        <v>0</v>
      </c>
      <c r="Q12" s="9">
        <v>0</v>
      </c>
      <c r="R12" s="9">
        <v>0</v>
      </c>
      <c r="S12" s="9">
        <v>0</v>
      </c>
      <c r="T12" s="9">
        <v>0</v>
      </c>
      <c r="U12" t="s">
        <v>500</v>
      </c>
    </row>
    <row r="13" spans="1:21" x14ac:dyDescent="0.3">
      <c r="A13" s="1">
        <v>3553</v>
      </c>
      <c r="B13" s="3" t="s">
        <v>479</v>
      </c>
      <c r="C13" s="1" t="s">
        <v>480</v>
      </c>
      <c r="D13" s="1">
        <v>2022</v>
      </c>
      <c r="E13" s="1" t="s">
        <v>25</v>
      </c>
      <c r="F13" s="1" t="s">
        <v>26</v>
      </c>
      <c r="G13" s="11">
        <v>22.25</v>
      </c>
      <c r="H13" s="11">
        <v>7.9</v>
      </c>
      <c r="I13" s="11">
        <v>7.55</v>
      </c>
      <c r="J13" s="11">
        <v>776</v>
      </c>
      <c r="K13" s="11">
        <v>2.8499999999999899</v>
      </c>
      <c r="L13" s="11">
        <f t="shared" si="0"/>
        <v>0.84000000000000008</v>
      </c>
      <c r="M13" s="11">
        <f t="shared" si="1"/>
        <v>2.2349999999999999</v>
      </c>
      <c r="N13" s="11">
        <f t="shared" si="2"/>
        <v>84.42</v>
      </c>
      <c r="O13" s="9">
        <v>0</v>
      </c>
      <c r="P13" s="9">
        <v>0</v>
      </c>
      <c r="Q13" s="9">
        <v>0</v>
      </c>
      <c r="R13" s="9">
        <v>0</v>
      </c>
      <c r="S13" s="9">
        <v>0</v>
      </c>
      <c r="T13" s="9">
        <v>0</v>
      </c>
      <c r="U13" t="s">
        <v>500</v>
      </c>
    </row>
    <row r="14" spans="1:21" x14ac:dyDescent="0.3">
      <c r="A14" s="1">
        <v>1510</v>
      </c>
      <c r="B14" s="2" t="s">
        <v>426</v>
      </c>
      <c r="C14" s="1" t="s">
        <v>427</v>
      </c>
      <c r="D14" s="1">
        <v>2022</v>
      </c>
      <c r="E14" s="1" t="s">
        <v>25</v>
      </c>
      <c r="F14" s="1" t="s">
        <v>40</v>
      </c>
      <c r="G14" s="11">
        <v>16</v>
      </c>
      <c r="H14" s="11">
        <v>8.0500000000000007</v>
      </c>
      <c r="I14" s="11">
        <v>7.83</v>
      </c>
      <c r="J14" s="11">
        <v>527.5</v>
      </c>
      <c r="K14" s="11">
        <v>2.5299999999999998</v>
      </c>
      <c r="L14" s="11">
        <v>1.135</v>
      </c>
      <c r="M14" s="11">
        <v>17.5</v>
      </c>
      <c r="N14" s="11">
        <v>463.9</v>
      </c>
      <c r="O14" s="9">
        <v>0</v>
      </c>
      <c r="P14" s="9">
        <v>0</v>
      </c>
      <c r="Q14" s="9">
        <v>0</v>
      </c>
      <c r="R14" s="9">
        <v>91.977777777777703</v>
      </c>
      <c r="S14" s="9">
        <v>1.8333333333333299</v>
      </c>
      <c r="T14" s="9">
        <v>10.423456790123399</v>
      </c>
      <c r="U14" t="s">
        <v>500</v>
      </c>
    </row>
    <row r="15" spans="1:21" x14ac:dyDescent="0.3">
      <c r="A15" s="1">
        <v>30023</v>
      </c>
      <c r="B15" s="3" t="s">
        <v>426</v>
      </c>
      <c r="C15" s="1" t="s">
        <v>428</v>
      </c>
      <c r="D15" s="1">
        <v>2022</v>
      </c>
      <c r="E15" s="1" t="s">
        <v>25</v>
      </c>
      <c r="F15" s="1" t="s">
        <v>42</v>
      </c>
      <c r="G15" s="11">
        <v>18.75</v>
      </c>
      <c r="H15" s="11">
        <v>9.0500000000000007</v>
      </c>
      <c r="I15" s="11">
        <v>8.3000000000000007</v>
      </c>
      <c r="J15" s="11">
        <v>224</v>
      </c>
      <c r="K15" s="11">
        <v>4.2</v>
      </c>
      <c r="L15" s="11">
        <v>0.42</v>
      </c>
      <c r="M15" s="11">
        <v>10502</v>
      </c>
      <c r="N15" s="11">
        <v>39506.5</v>
      </c>
      <c r="O15" s="9">
        <v>0</v>
      </c>
      <c r="P15" s="9">
        <v>0</v>
      </c>
      <c r="Q15" s="9">
        <v>0</v>
      </c>
      <c r="R15" s="9">
        <v>100</v>
      </c>
      <c r="S15" s="9">
        <v>0</v>
      </c>
      <c r="T15" s="9">
        <v>11.1111111111111</v>
      </c>
      <c r="U15" t="s">
        <v>500</v>
      </c>
    </row>
    <row r="16" spans="1:21" x14ac:dyDescent="0.3">
      <c r="A16" s="1">
        <v>4027</v>
      </c>
      <c r="B16" s="2" t="s">
        <v>429</v>
      </c>
      <c r="C16" s="1" t="s">
        <v>483</v>
      </c>
      <c r="D16" s="1">
        <v>2022</v>
      </c>
      <c r="E16" s="1" t="s">
        <v>25</v>
      </c>
      <c r="F16" s="1" t="s">
        <v>40</v>
      </c>
      <c r="G16" s="11">
        <v>23.5</v>
      </c>
      <c r="H16" s="11">
        <v>7.9</v>
      </c>
      <c r="I16" s="11">
        <v>7.91</v>
      </c>
      <c r="J16" s="11">
        <v>417</v>
      </c>
      <c r="K16" s="11">
        <v>3.8</v>
      </c>
      <c r="L16" s="11">
        <v>0.755</v>
      </c>
      <c r="M16" s="11">
        <v>33</v>
      </c>
      <c r="N16" s="11">
        <v>170</v>
      </c>
      <c r="O16" s="9">
        <v>0</v>
      </c>
      <c r="P16" s="9">
        <v>0</v>
      </c>
      <c r="Q16" s="9">
        <v>0</v>
      </c>
      <c r="R16" s="9">
        <v>26.6666666666666</v>
      </c>
      <c r="S16" s="9">
        <v>0</v>
      </c>
      <c r="T16" s="9">
        <v>2.9629629629629601</v>
      </c>
      <c r="U16" t="s">
        <v>500</v>
      </c>
    </row>
    <row r="17" spans="1:21" x14ac:dyDescent="0.3">
      <c r="A17" s="1">
        <v>4028</v>
      </c>
      <c r="B17" s="3" t="s">
        <v>407</v>
      </c>
      <c r="C17" s="1" t="s">
        <v>400</v>
      </c>
      <c r="D17" s="1">
        <v>2022</v>
      </c>
      <c r="E17" s="1" t="s">
        <v>25</v>
      </c>
      <c r="F17" s="1" t="s">
        <v>40</v>
      </c>
      <c r="G17" s="11">
        <v>23.5</v>
      </c>
      <c r="H17" s="11">
        <v>7.8</v>
      </c>
      <c r="I17" s="11">
        <v>8.02</v>
      </c>
      <c r="J17" s="11">
        <v>481</v>
      </c>
      <c r="K17" s="11">
        <v>6.7</v>
      </c>
      <c r="L17" s="11">
        <v>0.77500000000000002</v>
      </c>
      <c r="M17" s="11">
        <v>32.5</v>
      </c>
      <c r="N17" s="11">
        <v>205</v>
      </c>
      <c r="O17" s="9">
        <v>0</v>
      </c>
      <c r="P17" s="9">
        <v>0</v>
      </c>
      <c r="Q17" s="9">
        <v>0</v>
      </c>
      <c r="R17" s="9">
        <v>34.4444444444444</v>
      </c>
      <c r="S17" s="9">
        <v>0</v>
      </c>
      <c r="T17" s="9">
        <v>3.8271604938271602</v>
      </c>
      <c r="U17" t="s">
        <v>500</v>
      </c>
    </row>
    <row r="18" spans="1:21" x14ac:dyDescent="0.3">
      <c r="A18" s="1">
        <v>4427</v>
      </c>
      <c r="B18" s="2" t="s">
        <v>429</v>
      </c>
      <c r="C18" s="1" t="s">
        <v>484</v>
      </c>
      <c r="D18" s="1">
        <v>2022</v>
      </c>
      <c r="E18" s="1" t="s">
        <v>25</v>
      </c>
      <c r="F18" s="1" t="s">
        <v>40</v>
      </c>
      <c r="G18" s="11">
        <v>15</v>
      </c>
      <c r="H18" s="11">
        <v>7.8</v>
      </c>
      <c r="I18" s="11">
        <v>7.7050000000000001</v>
      </c>
      <c r="J18" s="11">
        <v>807</v>
      </c>
      <c r="K18" s="11">
        <v>9.8000000000000007</v>
      </c>
      <c r="L18" s="11">
        <v>1.365</v>
      </c>
      <c r="M18" s="11">
        <v>10.5</v>
      </c>
      <c r="N18" s="11">
        <v>803.4</v>
      </c>
      <c r="O18" s="9">
        <v>0</v>
      </c>
      <c r="P18" s="9">
        <v>0</v>
      </c>
      <c r="Q18" s="9">
        <v>0</v>
      </c>
      <c r="R18" s="9">
        <v>100</v>
      </c>
      <c r="S18" s="9">
        <v>20.466666666666601</v>
      </c>
      <c r="T18" s="9">
        <v>13.385185185185099</v>
      </c>
      <c r="U18" t="s">
        <v>500</v>
      </c>
    </row>
    <row r="19" spans="1:21" x14ac:dyDescent="0.3">
      <c r="A19" s="1">
        <v>2621</v>
      </c>
      <c r="B19" s="3" t="s">
        <v>429</v>
      </c>
      <c r="C19" s="1" t="s">
        <v>430</v>
      </c>
      <c r="D19" s="1">
        <v>2022</v>
      </c>
      <c r="E19" s="1" t="s">
        <v>25</v>
      </c>
      <c r="F19" s="1" t="s">
        <v>40</v>
      </c>
      <c r="G19" s="11">
        <v>12</v>
      </c>
      <c r="H19" s="11">
        <v>7.75</v>
      </c>
      <c r="I19" s="11">
        <v>7.92</v>
      </c>
      <c r="J19" s="11">
        <v>413.5</v>
      </c>
      <c r="K19" s="11">
        <v>4.3</v>
      </c>
      <c r="L19" s="11">
        <v>6.5649999999999897</v>
      </c>
      <c r="M19" s="11">
        <v>801</v>
      </c>
      <c r="N19" s="11">
        <v>813</v>
      </c>
      <c r="O19" s="9">
        <v>0</v>
      </c>
      <c r="P19" s="9">
        <v>0</v>
      </c>
      <c r="Q19" s="9">
        <v>0</v>
      </c>
      <c r="R19" s="9">
        <v>100</v>
      </c>
      <c r="S19" s="9">
        <v>0</v>
      </c>
      <c r="T19" s="9">
        <v>11.1111111111111</v>
      </c>
      <c r="U19" t="s">
        <v>500</v>
      </c>
    </row>
    <row r="20" spans="1:21" x14ac:dyDescent="0.3">
      <c r="A20" s="1">
        <v>3876</v>
      </c>
      <c r="B20" s="2" t="s">
        <v>431</v>
      </c>
      <c r="C20" s="1" t="s">
        <v>432</v>
      </c>
      <c r="D20" s="1">
        <v>2022</v>
      </c>
      <c r="E20" s="1" t="s">
        <v>25</v>
      </c>
      <c r="F20" s="1" t="s">
        <v>40</v>
      </c>
      <c r="G20" s="11">
        <v>12.5</v>
      </c>
      <c r="H20" s="11">
        <v>8.1999999999999993</v>
      </c>
      <c r="I20" s="11">
        <v>8.01</v>
      </c>
      <c r="J20" s="11">
        <v>457</v>
      </c>
      <c r="K20" s="11">
        <v>1.2</v>
      </c>
      <c r="L20" s="11">
        <v>4.1900000000000004</v>
      </c>
      <c r="M20" s="11">
        <v>40.5</v>
      </c>
      <c r="N20" s="11">
        <v>810.5</v>
      </c>
      <c r="O20" s="9">
        <v>0</v>
      </c>
      <c r="P20" s="9">
        <v>0</v>
      </c>
      <c r="Q20" s="9">
        <v>0</v>
      </c>
      <c r="R20" s="9">
        <v>100</v>
      </c>
      <c r="S20" s="9">
        <v>0</v>
      </c>
      <c r="T20" s="9">
        <v>11.1111111111111</v>
      </c>
      <c r="U20" t="s">
        <v>500</v>
      </c>
    </row>
    <row r="21" spans="1:21" x14ac:dyDescent="0.3">
      <c r="A21" s="1">
        <v>2622</v>
      </c>
      <c r="B21" s="3" t="s">
        <v>429</v>
      </c>
      <c r="C21" s="1" t="s">
        <v>433</v>
      </c>
      <c r="D21" s="1">
        <v>2022</v>
      </c>
      <c r="E21" s="1" t="s">
        <v>25</v>
      </c>
      <c r="F21" s="1" t="s">
        <v>40</v>
      </c>
      <c r="G21" s="11">
        <v>23.5</v>
      </c>
      <c r="H21" s="11">
        <v>7.55</v>
      </c>
      <c r="I21" s="11">
        <v>8.0449999999999999</v>
      </c>
      <c r="J21" s="11">
        <v>694.5</v>
      </c>
      <c r="K21" s="11">
        <v>14</v>
      </c>
      <c r="L21" s="11">
        <v>0.58499999999999996</v>
      </c>
      <c r="M21" s="11">
        <v>23</v>
      </c>
      <c r="N21" s="11">
        <v>105</v>
      </c>
      <c r="O21" s="9">
        <v>0</v>
      </c>
      <c r="P21" s="9">
        <v>0</v>
      </c>
      <c r="Q21" s="9">
        <v>0</v>
      </c>
      <c r="R21" s="9">
        <v>12.2222222222222</v>
      </c>
      <c r="S21" s="9">
        <v>12.966666666666599</v>
      </c>
      <c r="T21" s="9">
        <v>2.7987654320987598</v>
      </c>
      <c r="U21" t="s">
        <v>500</v>
      </c>
    </row>
    <row r="22" spans="1:21" x14ac:dyDescent="0.3">
      <c r="A22" s="1">
        <v>2623</v>
      </c>
      <c r="B22" s="2" t="s">
        <v>434</v>
      </c>
      <c r="C22" s="1" t="s">
        <v>435</v>
      </c>
      <c r="D22" s="1">
        <v>2022</v>
      </c>
      <c r="E22" s="1" t="s">
        <v>25</v>
      </c>
      <c r="F22" s="1" t="s">
        <v>40</v>
      </c>
      <c r="G22" s="11">
        <v>23</v>
      </c>
      <c r="H22" s="11">
        <v>7.75</v>
      </c>
      <c r="I22" s="11">
        <v>7.9649999999999999</v>
      </c>
      <c r="J22" s="11">
        <v>699.5</v>
      </c>
      <c r="K22" s="11">
        <v>36</v>
      </c>
      <c r="L22" s="11">
        <v>0.66</v>
      </c>
      <c r="M22" s="11">
        <v>26.5</v>
      </c>
      <c r="N22" s="11">
        <v>130</v>
      </c>
      <c r="O22" s="9">
        <v>0</v>
      </c>
      <c r="P22" s="9">
        <v>0</v>
      </c>
      <c r="Q22" s="9">
        <v>0</v>
      </c>
      <c r="R22" s="9">
        <v>17.7777777777777</v>
      </c>
      <c r="S22" s="9">
        <v>13.3</v>
      </c>
      <c r="T22" s="9">
        <v>3.4530864197530802</v>
      </c>
      <c r="U22" t="s">
        <v>500</v>
      </c>
    </row>
    <row r="23" spans="1:21" x14ac:dyDescent="0.3">
      <c r="A23" s="1">
        <v>3877</v>
      </c>
      <c r="B23" s="3" t="s">
        <v>436</v>
      </c>
      <c r="C23" s="1" t="s">
        <v>437</v>
      </c>
      <c r="D23" s="1">
        <v>2022</v>
      </c>
      <c r="E23" s="1" t="s">
        <v>25</v>
      </c>
      <c r="F23" s="1" t="s">
        <v>40</v>
      </c>
      <c r="G23" s="11">
        <v>16</v>
      </c>
      <c r="H23" s="11">
        <v>7.65</v>
      </c>
      <c r="I23" s="11">
        <v>7.7549999999999999</v>
      </c>
      <c r="J23" s="11">
        <v>830.5</v>
      </c>
      <c r="K23" s="11">
        <v>2.5</v>
      </c>
      <c r="L23" s="11">
        <v>1.595</v>
      </c>
      <c r="M23" s="11">
        <v>21.5</v>
      </c>
      <c r="N23" s="11">
        <v>807</v>
      </c>
      <c r="O23" s="9">
        <v>0</v>
      </c>
      <c r="P23" s="9">
        <v>0</v>
      </c>
      <c r="Q23" s="9">
        <v>0</v>
      </c>
      <c r="R23" s="9">
        <v>100</v>
      </c>
      <c r="S23" s="9">
        <v>22.033333333333299</v>
      </c>
      <c r="T23" s="9">
        <v>13.5592592592592</v>
      </c>
      <c r="U23" t="s">
        <v>500</v>
      </c>
    </row>
    <row r="24" spans="1:21" x14ac:dyDescent="0.3">
      <c r="A24" s="1">
        <v>3878</v>
      </c>
      <c r="B24" s="2" t="s">
        <v>438</v>
      </c>
      <c r="C24" s="1" t="s">
        <v>437</v>
      </c>
      <c r="D24" s="1">
        <v>2022</v>
      </c>
      <c r="E24" s="1" t="s">
        <v>25</v>
      </c>
      <c r="F24" s="1" t="s">
        <v>40</v>
      </c>
      <c r="G24" s="11">
        <v>15.5</v>
      </c>
      <c r="H24" s="11">
        <v>7.7</v>
      </c>
      <c r="I24" s="11">
        <v>7.77</v>
      </c>
      <c r="J24" s="11">
        <v>830.5</v>
      </c>
      <c r="K24" s="11">
        <v>3.8</v>
      </c>
      <c r="L24" s="11">
        <v>2.9449999999999998</v>
      </c>
      <c r="M24" s="11">
        <v>18</v>
      </c>
      <c r="N24" s="11">
        <v>808.5</v>
      </c>
      <c r="O24" s="9">
        <v>0</v>
      </c>
      <c r="P24" s="9">
        <v>0</v>
      </c>
      <c r="Q24" s="9">
        <v>0</v>
      </c>
      <c r="R24" s="9">
        <v>100</v>
      </c>
      <c r="S24" s="9">
        <v>22.033333333333299</v>
      </c>
      <c r="T24" s="9">
        <v>13.5592592592592</v>
      </c>
      <c r="U24" t="s">
        <v>500</v>
      </c>
    </row>
    <row r="25" spans="1:21" x14ac:dyDescent="0.3">
      <c r="A25" s="1">
        <v>3860</v>
      </c>
      <c r="B25" s="3" t="s">
        <v>439</v>
      </c>
      <c r="C25" s="1" t="s">
        <v>466</v>
      </c>
      <c r="D25" s="1">
        <v>2022</v>
      </c>
      <c r="E25" s="1" t="s">
        <v>25</v>
      </c>
      <c r="F25" s="1" t="s">
        <v>40</v>
      </c>
      <c r="G25" s="11">
        <v>22.5</v>
      </c>
      <c r="H25" s="11">
        <v>7.7</v>
      </c>
      <c r="I25" s="11">
        <v>7.88</v>
      </c>
      <c r="J25" s="11">
        <v>638.5</v>
      </c>
      <c r="K25" s="11">
        <v>6.7</v>
      </c>
      <c r="L25" s="11">
        <v>0.61499999999999999</v>
      </c>
      <c r="M25" s="11">
        <v>25</v>
      </c>
      <c r="N25" s="11">
        <v>108</v>
      </c>
      <c r="O25" s="9">
        <v>0</v>
      </c>
      <c r="P25" s="9">
        <v>0</v>
      </c>
      <c r="Q25" s="9">
        <v>0</v>
      </c>
      <c r="R25" s="9">
        <v>12.8888888888888</v>
      </c>
      <c r="S25" s="9">
        <v>9.2333333333333307</v>
      </c>
      <c r="T25" s="9">
        <v>2.4580246913580202</v>
      </c>
      <c r="U25" t="s">
        <v>500</v>
      </c>
    </row>
    <row r="26" spans="1:21" x14ac:dyDescent="0.3">
      <c r="A26" s="1">
        <v>1614</v>
      </c>
      <c r="B26" s="2" t="s">
        <v>440</v>
      </c>
      <c r="C26" s="1" t="s">
        <v>441</v>
      </c>
      <c r="D26" s="1">
        <v>2022</v>
      </c>
      <c r="E26" s="1" t="s">
        <v>25</v>
      </c>
      <c r="F26" s="1" t="s">
        <v>54</v>
      </c>
      <c r="G26" s="11">
        <v>24.5</v>
      </c>
      <c r="H26" s="11">
        <v>8.5500000000000007</v>
      </c>
      <c r="I26" s="11">
        <v>7.6050000000000004</v>
      </c>
      <c r="J26" s="11">
        <v>429.5</v>
      </c>
      <c r="K26" s="11">
        <v>3.2</v>
      </c>
      <c r="L26" s="11">
        <v>6.66</v>
      </c>
      <c r="M26" s="11">
        <v>36.5</v>
      </c>
      <c r="N26" s="11">
        <v>235</v>
      </c>
      <c r="O26" s="9">
        <v>0</v>
      </c>
      <c r="P26" s="9">
        <v>6.6666666666666696</v>
      </c>
      <c r="Q26" s="9">
        <v>0</v>
      </c>
      <c r="R26" s="9">
        <v>41.1111111111111</v>
      </c>
      <c r="S26" s="9">
        <v>0</v>
      </c>
      <c r="T26" s="9">
        <v>6.0493827160493803</v>
      </c>
      <c r="U26" t="s">
        <v>500</v>
      </c>
    </row>
    <row r="27" spans="1:21" x14ac:dyDescent="0.3">
      <c r="A27" s="1">
        <v>2107</v>
      </c>
      <c r="B27" s="3" t="s">
        <v>442</v>
      </c>
      <c r="C27" s="1" t="s">
        <v>467</v>
      </c>
      <c r="D27" s="1">
        <v>2022</v>
      </c>
      <c r="E27" s="1" t="s">
        <v>25</v>
      </c>
      <c r="F27" s="1" t="s">
        <v>54</v>
      </c>
      <c r="G27" s="11">
        <v>26</v>
      </c>
      <c r="H27" s="11">
        <v>6.75</v>
      </c>
      <c r="I27" s="11">
        <v>7.77</v>
      </c>
      <c r="J27" s="11">
        <v>383</v>
      </c>
      <c r="K27" s="11">
        <v>1.45</v>
      </c>
      <c r="L27" s="11">
        <v>1.29</v>
      </c>
      <c r="M27" s="11">
        <v>3.8</v>
      </c>
      <c r="N27" s="11">
        <v>53</v>
      </c>
      <c r="O27" s="9">
        <v>0</v>
      </c>
      <c r="P27" s="9">
        <v>0</v>
      </c>
      <c r="Q27" s="9">
        <v>0</v>
      </c>
      <c r="R27" s="9">
        <v>0.66666666666666596</v>
      </c>
      <c r="S27" s="9">
        <v>0</v>
      </c>
      <c r="T27" s="9">
        <v>7.4074074074074001E-2</v>
      </c>
      <c r="U27" t="s">
        <v>500</v>
      </c>
    </row>
    <row r="28" spans="1:21" x14ac:dyDescent="0.3">
      <c r="A28" s="1">
        <v>2108</v>
      </c>
      <c r="B28" s="2" t="s">
        <v>442</v>
      </c>
      <c r="C28" s="1" t="s">
        <v>443</v>
      </c>
      <c r="D28" s="1">
        <v>2022</v>
      </c>
      <c r="E28" s="1" t="s">
        <v>25</v>
      </c>
      <c r="F28" s="1" t="s">
        <v>54</v>
      </c>
      <c r="G28" s="11">
        <v>26</v>
      </c>
      <c r="H28" s="11">
        <v>6.9499999999999904</v>
      </c>
      <c r="I28" s="11">
        <v>7.84</v>
      </c>
      <c r="J28" s="11">
        <v>391</v>
      </c>
      <c r="K28" s="11">
        <v>1.5</v>
      </c>
      <c r="L28" s="11">
        <v>1.2249999999999901</v>
      </c>
      <c r="M28" s="11">
        <v>2</v>
      </c>
      <c r="N28" s="11">
        <v>44.5</v>
      </c>
      <c r="O28" s="9">
        <v>0</v>
      </c>
      <c r="P28" s="9">
        <v>0</v>
      </c>
      <c r="Q28" s="9">
        <v>0</v>
      </c>
      <c r="R28" s="9">
        <v>0</v>
      </c>
      <c r="S28" s="9">
        <v>0</v>
      </c>
      <c r="T28" s="9">
        <v>0</v>
      </c>
      <c r="U28" t="s">
        <v>500</v>
      </c>
    </row>
    <row r="29" spans="1:21" x14ac:dyDescent="0.3">
      <c r="A29" s="1">
        <v>2124</v>
      </c>
      <c r="B29" s="3" t="s">
        <v>442</v>
      </c>
      <c r="C29" s="1" t="s">
        <v>468</v>
      </c>
      <c r="D29" s="1">
        <v>2022</v>
      </c>
      <c r="E29" s="1" t="s">
        <v>25</v>
      </c>
      <c r="F29" s="1" t="s">
        <v>54</v>
      </c>
      <c r="G29" s="11">
        <v>18.5</v>
      </c>
      <c r="H29" s="11">
        <v>9.3000000000000007</v>
      </c>
      <c r="I29" s="11">
        <v>8.09</v>
      </c>
      <c r="J29" s="11">
        <v>610</v>
      </c>
      <c r="K29" s="11">
        <v>10.799999999999899</v>
      </c>
      <c r="L29" s="11">
        <v>9.8949999999999996</v>
      </c>
      <c r="M29" s="11">
        <v>141.5</v>
      </c>
      <c r="N29" s="11">
        <v>860</v>
      </c>
      <c r="O29" s="9">
        <v>0</v>
      </c>
      <c r="P29" s="9">
        <v>100</v>
      </c>
      <c r="Q29" s="9">
        <v>0</v>
      </c>
      <c r="R29" s="9">
        <v>100</v>
      </c>
      <c r="S29" s="9">
        <v>7.3333333333333304</v>
      </c>
      <c r="T29" s="9">
        <v>34.148148148148103</v>
      </c>
      <c r="U29" t="s">
        <v>500</v>
      </c>
    </row>
    <row r="30" spans="1:21" x14ac:dyDescent="0.3">
      <c r="A30" s="1">
        <v>2125</v>
      </c>
      <c r="B30" s="2" t="s">
        <v>444</v>
      </c>
      <c r="C30" s="1" t="s">
        <v>401</v>
      </c>
      <c r="D30" s="1">
        <v>2022</v>
      </c>
      <c r="E30" s="1" t="s">
        <v>25</v>
      </c>
      <c r="F30" s="1" t="s">
        <v>54</v>
      </c>
      <c r="G30" s="11">
        <v>25</v>
      </c>
      <c r="H30" s="11">
        <v>9.4</v>
      </c>
      <c r="I30" s="11">
        <v>7.6749999999999998</v>
      </c>
      <c r="J30" s="11">
        <v>624</v>
      </c>
      <c r="K30" s="11">
        <v>9.15</v>
      </c>
      <c r="L30" s="11">
        <v>9.65</v>
      </c>
      <c r="M30" s="11">
        <v>88</v>
      </c>
      <c r="N30" s="11">
        <v>875</v>
      </c>
      <c r="O30" s="9">
        <v>0</v>
      </c>
      <c r="P30" s="9">
        <v>100</v>
      </c>
      <c r="Q30" s="9">
        <v>0</v>
      </c>
      <c r="R30" s="9">
        <v>100</v>
      </c>
      <c r="S30" s="9">
        <v>8.2666666666666604</v>
      </c>
      <c r="T30" s="9">
        <v>34.251851851851796</v>
      </c>
      <c r="U30" t="s">
        <v>500</v>
      </c>
    </row>
    <row r="31" spans="1:21" x14ac:dyDescent="0.3">
      <c r="A31" s="1">
        <v>3832</v>
      </c>
      <c r="B31" s="3" t="s">
        <v>442</v>
      </c>
      <c r="C31" s="1" t="s">
        <v>445</v>
      </c>
      <c r="D31" s="1">
        <v>2022</v>
      </c>
      <c r="E31" s="1" t="s">
        <v>25</v>
      </c>
      <c r="F31" s="1" t="s">
        <v>54</v>
      </c>
      <c r="G31" s="11">
        <v>26</v>
      </c>
      <c r="H31" s="11">
        <v>7.05</v>
      </c>
      <c r="I31" s="11">
        <v>7.83</v>
      </c>
      <c r="J31" s="11">
        <v>365.5</v>
      </c>
      <c r="K31" s="11">
        <v>1.6</v>
      </c>
      <c r="L31" s="11">
        <v>0.42499999999999999</v>
      </c>
      <c r="M31" s="11">
        <v>25</v>
      </c>
      <c r="N31" s="11">
        <v>53</v>
      </c>
      <c r="O31" s="9">
        <v>0</v>
      </c>
      <c r="P31" s="9">
        <v>0</v>
      </c>
      <c r="Q31" s="9">
        <v>0</v>
      </c>
      <c r="R31" s="9">
        <v>0.66666666666666596</v>
      </c>
      <c r="S31" s="9">
        <v>0</v>
      </c>
      <c r="T31" s="9">
        <v>7.4074074074074001E-2</v>
      </c>
      <c r="U31" t="s">
        <v>500</v>
      </c>
    </row>
    <row r="32" spans="1:21" x14ac:dyDescent="0.3">
      <c r="A32" s="1">
        <v>30080</v>
      </c>
      <c r="B32" s="2" t="s">
        <v>442</v>
      </c>
      <c r="C32" s="1" t="s">
        <v>446</v>
      </c>
      <c r="D32" s="1">
        <v>2022</v>
      </c>
      <c r="E32" s="1" t="s">
        <v>25</v>
      </c>
      <c r="F32" s="1" t="s">
        <v>54</v>
      </c>
      <c r="G32" s="11">
        <v>27</v>
      </c>
      <c r="H32" s="11">
        <v>9.0500000000000007</v>
      </c>
      <c r="I32" s="11">
        <v>7.9850000000000003</v>
      </c>
      <c r="J32" s="11">
        <v>392</v>
      </c>
      <c r="K32" s="11">
        <v>2.4500000000000002</v>
      </c>
      <c r="L32" s="11">
        <v>1.1099999999999901</v>
      </c>
      <c r="M32" s="11">
        <v>12000</v>
      </c>
      <c r="N32" s="11">
        <v>397250</v>
      </c>
      <c r="O32" s="9">
        <v>0</v>
      </c>
      <c r="P32" s="9">
        <v>0</v>
      </c>
      <c r="Q32" s="9">
        <v>0</v>
      </c>
      <c r="R32" s="9">
        <v>100</v>
      </c>
      <c r="S32" s="9">
        <v>0</v>
      </c>
      <c r="T32" s="9">
        <v>11.1111111111111</v>
      </c>
      <c r="U32" t="s">
        <v>500</v>
      </c>
    </row>
    <row r="33" spans="1:21" x14ac:dyDescent="0.3">
      <c r="A33" s="1">
        <v>2953</v>
      </c>
      <c r="B33" s="3" t="s">
        <v>447</v>
      </c>
      <c r="C33" s="1" t="s">
        <v>448</v>
      </c>
      <c r="D33" s="1">
        <v>2022</v>
      </c>
      <c r="E33" s="1" t="s">
        <v>25</v>
      </c>
      <c r="F33" s="1" t="s">
        <v>62</v>
      </c>
      <c r="G33" s="11">
        <v>27.5</v>
      </c>
      <c r="H33" s="11">
        <v>4.6500000000000004</v>
      </c>
      <c r="I33" s="11">
        <v>8.2200000000000006</v>
      </c>
      <c r="J33" s="11">
        <v>599</v>
      </c>
      <c r="K33" s="11">
        <v>1.7</v>
      </c>
      <c r="L33" s="11">
        <v>1.7250000000000001</v>
      </c>
      <c r="M33" s="11">
        <v>58.5</v>
      </c>
      <c r="N33" s="11">
        <v>147.5</v>
      </c>
      <c r="O33" s="9">
        <v>22.499999999999901</v>
      </c>
      <c r="P33" s="9">
        <v>0</v>
      </c>
      <c r="Q33" s="9">
        <v>0</v>
      </c>
      <c r="R33" s="9">
        <v>21.6666666666666</v>
      </c>
      <c r="S33" s="9">
        <v>6.6</v>
      </c>
      <c r="T33" s="9">
        <v>10.6407407407407</v>
      </c>
      <c r="U33" t="s">
        <v>500</v>
      </c>
    </row>
    <row r="34" spans="1:21" x14ac:dyDescent="0.3">
      <c r="A34" s="1">
        <v>2956</v>
      </c>
      <c r="B34" s="2" t="s">
        <v>447</v>
      </c>
      <c r="C34" s="1" t="s">
        <v>449</v>
      </c>
      <c r="D34" s="1">
        <v>2022</v>
      </c>
      <c r="E34" s="1" t="s">
        <v>25</v>
      </c>
      <c r="F34" s="1" t="s">
        <v>62</v>
      </c>
      <c r="G34" s="11">
        <v>28</v>
      </c>
      <c r="H34" s="11">
        <v>4.4000000000000004</v>
      </c>
      <c r="I34" s="11">
        <v>8.3550000000000004</v>
      </c>
      <c r="J34" s="11">
        <v>965</v>
      </c>
      <c r="K34" s="11">
        <v>1.65</v>
      </c>
      <c r="L34" s="11">
        <v>2.34</v>
      </c>
      <c r="M34" s="11">
        <v>53.5</v>
      </c>
      <c r="N34" s="11">
        <v>137</v>
      </c>
      <c r="O34" s="9">
        <v>26.6666666666666</v>
      </c>
      <c r="P34" s="9">
        <v>0</v>
      </c>
      <c r="Q34" s="9">
        <v>0</v>
      </c>
      <c r="R34" s="9">
        <v>19.3333333333333</v>
      </c>
      <c r="S34" s="9">
        <v>31</v>
      </c>
      <c r="T34" s="9">
        <v>14.481481481481399</v>
      </c>
      <c r="U34" t="s">
        <v>500</v>
      </c>
    </row>
    <row r="35" spans="1:21" x14ac:dyDescent="0.3">
      <c r="A35" s="1">
        <v>2951</v>
      </c>
      <c r="B35" s="3" t="s">
        <v>408</v>
      </c>
      <c r="C35" s="1" t="s">
        <v>402</v>
      </c>
      <c r="D35" s="1">
        <v>2022</v>
      </c>
      <c r="E35" s="1" t="s">
        <v>25</v>
      </c>
      <c r="F35" s="1" t="s">
        <v>62</v>
      </c>
      <c r="G35" s="11">
        <v>24.5</v>
      </c>
      <c r="H35" s="11">
        <v>4.95</v>
      </c>
      <c r="I35" s="11">
        <v>8.3249999999999993</v>
      </c>
      <c r="J35" s="11">
        <v>672</v>
      </c>
      <c r="K35" s="11">
        <v>1.6</v>
      </c>
      <c r="L35" s="11">
        <v>2.1349999999999998</v>
      </c>
      <c r="M35" s="11">
        <v>79.5</v>
      </c>
      <c r="N35" s="11">
        <v>195</v>
      </c>
      <c r="O35" s="9">
        <v>17.499999999999901</v>
      </c>
      <c r="P35" s="9">
        <v>0</v>
      </c>
      <c r="Q35" s="9">
        <v>0</v>
      </c>
      <c r="R35" s="9">
        <v>32.2222222222222</v>
      </c>
      <c r="S35" s="9">
        <v>11.466666666666599</v>
      </c>
      <c r="T35" s="9">
        <v>10.687654320987599</v>
      </c>
      <c r="U35" t="s">
        <v>500</v>
      </c>
    </row>
    <row r="36" spans="1:21" x14ac:dyDescent="0.3">
      <c r="A36" s="1">
        <v>2952</v>
      </c>
      <c r="B36" s="2" t="s">
        <v>409</v>
      </c>
      <c r="C36" s="1" t="s">
        <v>403</v>
      </c>
      <c r="D36" s="1">
        <v>2022</v>
      </c>
      <c r="E36" s="1" t="s">
        <v>25</v>
      </c>
      <c r="F36" s="1" t="s">
        <v>62</v>
      </c>
      <c r="G36" s="11">
        <v>24.5</v>
      </c>
      <c r="H36" s="11">
        <v>2.25</v>
      </c>
      <c r="I36" s="11">
        <v>8.3949999999999996</v>
      </c>
      <c r="J36" s="11">
        <v>2479</v>
      </c>
      <c r="K36" s="11">
        <v>4.3499999999999996</v>
      </c>
      <c r="L36" s="11">
        <v>4.57</v>
      </c>
      <c r="M36" s="11">
        <v>185</v>
      </c>
      <c r="N36" s="11">
        <v>485</v>
      </c>
      <c r="O36" s="9">
        <v>62.5</v>
      </c>
      <c r="P36" s="9">
        <v>44.999999999999901</v>
      </c>
      <c r="Q36" s="9">
        <v>0</v>
      </c>
      <c r="R36" s="9">
        <v>96.6666666666666</v>
      </c>
      <c r="S36" s="9">
        <v>100</v>
      </c>
      <c r="T36" s="9">
        <v>52.685185185185098</v>
      </c>
      <c r="U36" t="s">
        <v>501</v>
      </c>
    </row>
    <row r="37" spans="1:21" x14ac:dyDescent="0.3">
      <c r="A37" s="1">
        <v>2955</v>
      </c>
      <c r="B37" s="3" t="s">
        <v>450</v>
      </c>
      <c r="C37" s="1" t="s">
        <v>469</v>
      </c>
      <c r="D37" s="1">
        <v>2022</v>
      </c>
      <c r="E37" s="1" t="s">
        <v>25</v>
      </c>
      <c r="F37" s="1" t="s">
        <v>62</v>
      </c>
      <c r="G37" s="11">
        <v>24</v>
      </c>
      <c r="H37" s="11">
        <v>5.8</v>
      </c>
      <c r="I37" s="11">
        <v>7.74</v>
      </c>
      <c r="J37" s="11">
        <v>506</v>
      </c>
      <c r="K37" s="11">
        <v>2.35</v>
      </c>
      <c r="L37" s="11">
        <v>2.3149999999999999</v>
      </c>
      <c r="M37" s="11">
        <v>115</v>
      </c>
      <c r="N37" s="11">
        <v>245</v>
      </c>
      <c r="O37" s="9">
        <v>3.3333333333333299</v>
      </c>
      <c r="P37" s="9">
        <v>0</v>
      </c>
      <c r="Q37" s="9">
        <v>0</v>
      </c>
      <c r="R37" s="9">
        <v>43.3333333333333</v>
      </c>
      <c r="S37" s="9">
        <v>0.4</v>
      </c>
      <c r="T37" s="9">
        <v>5.9703703703703699</v>
      </c>
      <c r="U37" t="s">
        <v>500</v>
      </c>
    </row>
    <row r="38" spans="1:21" x14ac:dyDescent="0.3">
      <c r="A38" s="1">
        <v>3309</v>
      </c>
      <c r="B38" s="2" t="s">
        <v>451</v>
      </c>
      <c r="C38" s="1" t="s">
        <v>452</v>
      </c>
      <c r="D38" s="1">
        <v>2022</v>
      </c>
      <c r="E38" s="1" t="s">
        <v>25</v>
      </c>
      <c r="F38" s="1" t="s">
        <v>54</v>
      </c>
      <c r="G38" s="11">
        <v>26</v>
      </c>
      <c r="H38" s="11">
        <v>7.05</v>
      </c>
      <c r="I38" s="11">
        <v>7.6550000000000002</v>
      </c>
      <c r="J38" s="11">
        <v>1124.5</v>
      </c>
      <c r="K38" s="11">
        <v>4</v>
      </c>
      <c r="L38" s="11">
        <v>1.64</v>
      </c>
      <c r="M38" s="11">
        <v>463</v>
      </c>
      <c r="N38" s="11">
        <v>824</v>
      </c>
      <c r="O38" s="9">
        <v>0</v>
      </c>
      <c r="P38" s="9">
        <v>33.3333333333333</v>
      </c>
      <c r="Q38" s="9">
        <v>0</v>
      </c>
      <c r="R38" s="9">
        <v>100</v>
      </c>
      <c r="S38" s="9">
        <v>41.633333333333297</v>
      </c>
      <c r="T38" s="9">
        <v>23.1444444444444</v>
      </c>
      <c r="U38" t="s">
        <v>500</v>
      </c>
    </row>
    <row r="39" spans="1:21" x14ac:dyDescent="0.3">
      <c r="A39" s="1">
        <v>4349</v>
      </c>
      <c r="B39" s="3" t="s">
        <v>453</v>
      </c>
      <c r="C39" s="1" t="s">
        <v>368</v>
      </c>
      <c r="D39" s="1">
        <v>2022</v>
      </c>
      <c r="E39" s="1" t="s">
        <v>69</v>
      </c>
      <c r="F39" s="1" t="s">
        <v>70</v>
      </c>
      <c r="G39" s="11">
        <v>25.5</v>
      </c>
      <c r="H39" s="11">
        <v>6.2</v>
      </c>
      <c r="I39" s="11">
        <v>7.9</v>
      </c>
      <c r="J39" s="11">
        <v>35550</v>
      </c>
      <c r="K39" s="11">
        <v>1.85</v>
      </c>
      <c r="L39" s="11">
        <v>0.85</v>
      </c>
      <c r="M39" s="11">
        <v>5</v>
      </c>
      <c r="N39" s="11">
        <v>84</v>
      </c>
      <c r="O39" s="9">
        <v>0</v>
      </c>
      <c r="P39" s="9">
        <v>0</v>
      </c>
      <c r="Q39" s="9">
        <v>0</v>
      </c>
      <c r="R39" s="9">
        <v>7.55555555555555</v>
      </c>
      <c r="S39" s="9">
        <v>100</v>
      </c>
      <c r="T39" s="9">
        <v>11.950617283950599</v>
      </c>
      <c r="U39" t="s">
        <v>500</v>
      </c>
    </row>
    <row r="40" spans="1:21" x14ac:dyDescent="0.3">
      <c r="A40" s="1">
        <v>4352</v>
      </c>
      <c r="B40" s="3" t="s">
        <v>369</v>
      </c>
      <c r="C40" s="1" t="s">
        <v>370</v>
      </c>
      <c r="D40" s="1">
        <v>2022</v>
      </c>
      <c r="E40" s="1" t="s">
        <v>69</v>
      </c>
      <c r="F40" s="1" t="s">
        <v>70</v>
      </c>
      <c r="G40" s="11">
        <v>26.5</v>
      </c>
      <c r="H40" s="11">
        <v>5.9</v>
      </c>
      <c r="I40" s="11">
        <v>8.1</v>
      </c>
      <c r="J40" s="11">
        <v>44300</v>
      </c>
      <c r="K40" s="11">
        <v>2.0999999999999899</v>
      </c>
      <c r="L40" s="11">
        <v>0.6</v>
      </c>
      <c r="M40" s="11">
        <v>7</v>
      </c>
      <c r="N40" s="11">
        <v>124.5</v>
      </c>
      <c r="O40" s="9">
        <v>1.6666666666666601</v>
      </c>
      <c r="P40" s="9">
        <v>0</v>
      </c>
      <c r="Q40" s="9">
        <v>0</v>
      </c>
      <c r="R40" s="9">
        <v>16.5555555555555</v>
      </c>
      <c r="S40" s="9">
        <v>100</v>
      </c>
      <c r="T40" s="9">
        <v>13.5061728395061</v>
      </c>
      <c r="U40" t="s">
        <v>500</v>
      </c>
    </row>
    <row r="41" spans="1:21" x14ac:dyDescent="0.3">
      <c r="A41" s="1">
        <v>4357</v>
      </c>
      <c r="B41" s="1" t="s">
        <v>73</v>
      </c>
      <c r="C41" s="1" t="s">
        <v>74</v>
      </c>
      <c r="D41" s="1">
        <v>2022</v>
      </c>
      <c r="E41" s="1" t="s">
        <v>75</v>
      </c>
      <c r="F41" s="1" t="s">
        <v>70</v>
      </c>
      <c r="G41" s="11">
        <v>27</v>
      </c>
      <c r="H41" s="11">
        <v>5.9</v>
      </c>
      <c r="I41" s="11">
        <v>8.1</v>
      </c>
      <c r="J41" s="11">
        <v>43700</v>
      </c>
      <c r="K41" s="11">
        <v>2.0499999999999998</v>
      </c>
      <c r="L41" s="11">
        <v>0.72499999999999998</v>
      </c>
      <c r="M41" s="11">
        <v>8.5</v>
      </c>
      <c r="N41" s="11">
        <v>94.5</v>
      </c>
      <c r="O41" s="9">
        <v>1.6666666666666601</v>
      </c>
      <c r="P41" s="9">
        <v>0</v>
      </c>
      <c r="Q41" s="9">
        <v>0</v>
      </c>
      <c r="R41" s="9">
        <v>9.8888888888888893</v>
      </c>
      <c r="S41" s="9">
        <v>100</v>
      </c>
      <c r="T41" s="9">
        <v>12.7654320987654</v>
      </c>
      <c r="U41" t="s">
        <v>500</v>
      </c>
    </row>
    <row r="42" spans="1:21" x14ac:dyDescent="0.3">
      <c r="A42" s="1">
        <v>4361</v>
      </c>
      <c r="B42" s="1" t="s">
        <v>76</v>
      </c>
      <c r="C42" s="1" t="s">
        <v>77</v>
      </c>
      <c r="D42" s="1">
        <v>2022</v>
      </c>
      <c r="E42" s="1" t="s">
        <v>75</v>
      </c>
      <c r="F42" s="1" t="s">
        <v>70</v>
      </c>
      <c r="G42" s="11">
        <v>26.5</v>
      </c>
      <c r="H42" s="11">
        <v>6.2</v>
      </c>
      <c r="I42" s="11">
        <v>8.15</v>
      </c>
      <c r="J42" s="11">
        <v>28100</v>
      </c>
      <c r="K42" s="11">
        <v>2.5</v>
      </c>
      <c r="L42" s="11">
        <v>0.87</v>
      </c>
      <c r="M42" s="11">
        <v>11.5</v>
      </c>
      <c r="N42" s="11">
        <v>99</v>
      </c>
      <c r="O42" s="9">
        <v>0</v>
      </c>
      <c r="P42" s="9">
        <v>0</v>
      </c>
      <c r="Q42" s="9">
        <v>0</v>
      </c>
      <c r="R42" s="9">
        <v>10.8888888888888</v>
      </c>
      <c r="S42" s="9">
        <v>100</v>
      </c>
      <c r="T42" s="9">
        <v>12.3209876543209</v>
      </c>
      <c r="U42" t="s">
        <v>500</v>
      </c>
    </row>
    <row r="43" spans="1:21" x14ac:dyDescent="0.3">
      <c r="A43" s="1">
        <v>4362</v>
      </c>
      <c r="B43" s="1" t="s">
        <v>471</v>
      </c>
      <c r="C43" s="1" t="s">
        <v>470</v>
      </c>
      <c r="D43" s="1">
        <v>2022</v>
      </c>
      <c r="E43" s="1" t="s">
        <v>79</v>
      </c>
      <c r="F43" s="1" t="s">
        <v>70</v>
      </c>
      <c r="G43" s="11">
        <v>26</v>
      </c>
      <c r="H43" s="11">
        <v>6.65</v>
      </c>
      <c r="I43" s="11">
        <v>7.9</v>
      </c>
      <c r="J43" s="11">
        <v>25580.5</v>
      </c>
      <c r="K43" s="11">
        <v>3.05</v>
      </c>
      <c r="L43" s="11">
        <v>2.0699999999999998</v>
      </c>
      <c r="M43" s="11">
        <v>13.5</v>
      </c>
      <c r="N43" s="11">
        <v>267.5</v>
      </c>
      <c r="O43" s="9">
        <v>0</v>
      </c>
      <c r="P43" s="9">
        <v>1.6666666666666601</v>
      </c>
      <c r="Q43" s="9">
        <v>0</v>
      </c>
      <c r="R43" s="9">
        <v>48.3333333333333</v>
      </c>
      <c r="S43" s="9">
        <v>100</v>
      </c>
      <c r="T43" s="9">
        <v>16.851851851851801</v>
      </c>
      <c r="U43" t="s">
        <v>500</v>
      </c>
    </row>
    <row r="44" spans="1:21" x14ac:dyDescent="0.3">
      <c r="A44" s="1">
        <v>4363</v>
      </c>
      <c r="B44" s="1" t="s">
        <v>472</v>
      </c>
      <c r="C44" s="1" t="s">
        <v>312</v>
      </c>
      <c r="D44" s="1">
        <v>2022</v>
      </c>
      <c r="E44" s="1" t="s">
        <v>79</v>
      </c>
      <c r="F44" s="1" t="s">
        <v>70</v>
      </c>
      <c r="G44" s="11">
        <v>25</v>
      </c>
      <c r="H44" s="11">
        <v>6.6</v>
      </c>
      <c r="I44" s="11">
        <v>7.6499999999999897</v>
      </c>
      <c r="J44" s="11">
        <v>23740.5</v>
      </c>
      <c r="K44" s="11">
        <v>2.5</v>
      </c>
      <c r="L44" s="11">
        <v>2.585</v>
      </c>
      <c r="M44" s="11">
        <v>12</v>
      </c>
      <c r="N44" s="11">
        <v>262</v>
      </c>
      <c r="O44" s="9">
        <v>0</v>
      </c>
      <c r="P44" s="9">
        <v>0</v>
      </c>
      <c r="Q44" s="9">
        <v>0</v>
      </c>
      <c r="R44" s="9">
        <v>47.1111111111111</v>
      </c>
      <c r="S44" s="9">
        <v>100</v>
      </c>
      <c r="T44" s="9">
        <v>16.345679012345599</v>
      </c>
      <c r="U44" t="s">
        <v>500</v>
      </c>
    </row>
    <row r="45" spans="1:21" x14ac:dyDescent="0.3">
      <c r="A45" s="1">
        <v>4371</v>
      </c>
      <c r="B45" s="2" t="s">
        <v>371</v>
      </c>
      <c r="C45" s="1" t="s">
        <v>313</v>
      </c>
      <c r="D45" s="1">
        <v>2022</v>
      </c>
      <c r="E45" s="1" t="s">
        <v>69</v>
      </c>
      <c r="F45" s="1" t="s">
        <v>70</v>
      </c>
      <c r="G45" s="11">
        <v>26</v>
      </c>
      <c r="H45" s="11">
        <v>6.55</v>
      </c>
      <c r="I45" s="11">
        <v>8.1</v>
      </c>
      <c r="J45" s="11">
        <v>29400</v>
      </c>
      <c r="K45" s="11">
        <v>1.65</v>
      </c>
      <c r="L45" s="11">
        <v>0.76499999999999901</v>
      </c>
      <c r="M45" s="11">
        <v>8.5</v>
      </c>
      <c r="N45" s="11">
        <v>84.5</v>
      </c>
      <c r="O45" s="9">
        <v>0</v>
      </c>
      <c r="P45" s="9">
        <v>0</v>
      </c>
      <c r="Q45" s="9">
        <v>0</v>
      </c>
      <c r="R45" s="9">
        <v>7.6666666666666599</v>
      </c>
      <c r="S45" s="9">
        <v>100</v>
      </c>
      <c r="T45" s="9">
        <v>11.9629629629629</v>
      </c>
      <c r="U45" t="s">
        <v>500</v>
      </c>
    </row>
    <row r="46" spans="1:21" x14ac:dyDescent="0.3">
      <c r="A46" s="1">
        <v>4378</v>
      </c>
      <c r="B46" s="1" t="s">
        <v>159</v>
      </c>
      <c r="C46" s="1" t="s">
        <v>238</v>
      </c>
      <c r="D46" s="1">
        <v>2022</v>
      </c>
      <c r="E46" s="1" t="s">
        <v>75</v>
      </c>
      <c r="F46" s="1" t="s">
        <v>70</v>
      </c>
      <c r="G46" s="11">
        <v>26</v>
      </c>
      <c r="H46" s="11">
        <v>6.15</v>
      </c>
      <c r="I46" s="11">
        <v>7.75</v>
      </c>
      <c r="J46" s="11">
        <v>48350</v>
      </c>
      <c r="K46" s="11">
        <v>2.5999999999999899</v>
      </c>
      <c r="L46" s="11">
        <v>1.325</v>
      </c>
      <c r="M46" s="11">
        <v>7</v>
      </c>
      <c r="N46" s="11">
        <v>163.5</v>
      </c>
      <c r="O46" s="9">
        <v>0</v>
      </c>
      <c r="P46" s="9">
        <v>0</v>
      </c>
      <c r="Q46" s="9">
        <v>0</v>
      </c>
      <c r="R46" s="9">
        <v>25.2222222222222</v>
      </c>
      <c r="S46" s="9">
        <v>100</v>
      </c>
      <c r="T46" s="9">
        <v>13.913580246913501</v>
      </c>
      <c r="U46" t="s">
        <v>500</v>
      </c>
    </row>
    <row r="47" spans="1:21" x14ac:dyDescent="0.3">
      <c r="A47" s="1">
        <v>4383</v>
      </c>
      <c r="B47" s="3" t="s">
        <v>372</v>
      </c>
      <c r="C47" s="1" t="s">
        <v>373</v>
      </c>
      <c r="D47" s="1">
        <v>2022</v>
      </c>
      <c r="E47" s="1" t="s">
        <v>69</v>
      </c>
      <c r="F47" s="1" t="s">
        <v>70</v>
      </c>
      <c r="G47" s="11">
        <v>23</v>
      </c>
      <c r="H47" s="11">
        <v>5.65</v>
      </c>
      <c r="I47" s="11">
        <v>7.65</v>
      </c>
      <c r="J47" s="11">
        <v>41100</v>
      </c>
      <c r="K47" s="11">
        <v>2.5999999999999899</v>
      </c>
      <c r="L47" s="11">
        <v>1.335</v>
      </c>
      <c r="M47" s="11">
        <v>8</v>
      </c>
      <c r="N47" s="11">
        <v>168</v>
      </c>
      <c r="O47" s="9">
        <v>5.8333333333333197</v>
      </c>
      <c r="P47" s="9">
        <v>0</v>
      </c>
      <c r="Q47" s="9">
        <v>0</v>
      </c>
      <c r="R47" s="9">
        <v>26.2222222222222</v>
      </c>
      <c r="S47" s="9">
        <v>100</v>
      </c>
      <c r="T47" s="9">
        <v>15.969135802469101</v>
      </c>
      <c r="U47" t="s">
        <v>500</v>
      </c>
    </row>
    <row r="48" spans="1:21" x14ac:dyDescent="0.3">
      <c r="A48" s="1">
        <v>4385</v>
      </c>
      <c r="B48" s="1" t="s">
        <v>84</v>
      </c>
      <c r="C48" s="1"/>
      <c r="D48" s="1">
        <v>2022</v>
      </c>
      <c r="E48" s="1" t="s">
        <v>75</v>
      </c>
      <c r="F48" s="1" t="s">
        <v>70</v>
      </c>
      <c r="G48" s="11">
        <v>24</v>
      </c>
      <c r="H48" s="11">
        <v>5.85</v>
      </c>
      <c r="I48" s="11">
        <v>7.9</v>
      </c>
      <c r="J48" s="11">
        <v>45400</v>
      </c>
      <c r="K48" s="11">
        <v>2.5499999999999998</v>
      </c>
      <c r="L48" s="11">
        <v>1.2649999999999999</v>
      </c>
      <c r="M48" s="11">
        <v>10.5</v>
      </c>
      <c r="N48" s="11">
        <v>209</v>
      </c>
      <c r="O48" s="9">
        <v>2.5</v>
      </c>
      <c r="P48" s="9">
        <v>0</v>
      </c>
      <c r="Q48" s="9">
        <v>0</v>
      </c>
      <c r="R48" s="9">
        <v>35.3333333333333</v>
      </c>
      <c r="S48" s="9">
        <v>100</v>
      </c>
      <c r="T48" s="9">
        <v>15.870370370370299</v>
      </c>
      <c r="U48" t="s">
        <v>500</v>
      </c>
    </row>
    <row r="49" spans="1:21" x14ac:dyDescent="0.3">
      <c r="A49" s="1">
        <v>4386</v>
      </c>
      <c r="B49" s="1" t="s">
        <v>85</v>
      </c>
      <c r="C49" s="1" t="s">
        <v>86</v>
      </c>
      <c r="D49" s="1">
        <v>2022</v>
      </c>
      <c r="E49" s="1" t="s">
        <v>75</v>
      </c>
      <c r="F49" s="1" t="s">
        <v>70</v>
      </c>
      <c r="G49" s="11">
        <v>23.5</v>
      </c>
      <c r="H49" s="11">
        <v>6.05</v>
      </c>
      <c r="I49" s="11">
        <v>7.85</v>
      </c>
      <c r="J49" s="11">
        <v>44900</v>
      </c>
      <c r="K49" s="11">
        <v>2.75</v>
      </c>
      <c r="L49" s="11">
        <v>1.19</v>
      </c>
      <c r="M49" s="11">
        <v>6.5</v>
      </c>
      <c r="N49" s="11">
        <v>142.5</v>
      </c>
      <c r="O49" s="9">
        <v>0</v>
      </c>
      <c r="P49" s="9">
        <v>0</v>
      </c>
      <c r="Q49" s="9">
        <v>0</v>
      </c>
      <c r="R49" s="9">
        <v>20.5555555555555</v>
      </c>
      <c r="S49" s="9">
        <v>100</v>
      </c>
      <c r="T49" s="9">
        <v>13.395061728395</v>
      </c>
      <c r="U49" t="s">
        <v>500</v>
      </c>
    </row>
    <row r="50" spans="1:21" x14ac:dyDescent="0.3">
      <c r="A50" s="1">
        <v>4387</v>
      </c>
      <c r="B50" s="2" t="s">
        <v>367</v>
      </c>
      <c r="C50" s="1" t="s">
        <v>366</v>
      </c>
      <c r="D50" s="1">
        <v>2022</v>
      </c>
      <c r="E50" s="1" t="s">
        <v>69</v>
      </c>
      <c r="F50" s="1" t="s">
        <v>70</v>
      </c>
      <c r="G50" s="11">
        <v>20</v>
      </c>
      <c r="H50" s="11">
        <v>6.15</v>
      </c>
      <c r="I50" s="11">
        <v>7.6</v>
      </c>
      <c r="J50" s="11">
        <v>42050</v>
      </c>
      <c r="K50" s="11">
        <v>2.65</v>
      </c>
      <c r="L50" s="11">
        <v>0.97499999999999998</v>
      </c>
      <c r="M50" s="11">
        <v>7</v>
      </c>
      <c r="N50" s="11">
        <v>153.5</v>
      </c>
      <c r="O50" s="9">
        <v>0</v>
      </c>
      <c r="P50" s="9">
        <v>0</v>
      </c>
      <c r="Q50" s="9">
        <v>0</v>
      </c>
      <c r="R50" s="9">
        <v>23</v>
      </c>
      <c r="S50" s="9">
        <v>100</v>
      </c>
      <c r="T50" s="9">
        <v>13.6666666666666</v>
      </c>
      <c r="U50" t="s">
        <v>500</v>
      </c>
    </row>
    <row r="51" spans="1:21" x14ac:dyDescent="0.3">
      <c r="A51" s="1">
        <v>4013</v>
      </c>
      <c r="B51" s="1" t="s">
        <v>88</v>
      </c>
      <c r="C51" s="1"/>
      <c r="D51" s="1">
        <v>2022</v>
      </c>
      <c r="E51" s="1" t="s">
        <v>75</v>
      </c>
      <c r="F51" s="1" t="s">
        <v>89</v>
      </c>
      <c r="G51" s="11">
        <v>29</v>
      </c>
      <c r="H51" s="11">
        <v>6.7</v>
      </c>
      <c r="I51" s="11">
        <v>7.75</v>
      </c>
      <c r="J51" s="11">
        <v>41530</v>
      </c>
      <c r="K51" s="11">
        <v>1.65</v>
      </c>
      <c r="L51" s="11">
        <v>1.2949999999999999</v>
      </c>
      <c r="M51" s="11">
        <v>181.5</v>
      </c>
      <c r="N51" s="11">
        <v>281.5</v>
      </c>
      <c r="O51" s="9">
        <v>0</v>
      </c>
      <c r="P51" s="9">
        <v>0</v>
      </c>
      <c r="Q51" s="9">
        <v>0</v>
      </c>
      <c r="R51" s="9">
        <v>51.4444444444444</v>
      </c>
      <c r="S51" s="9">
        <v>100</v>
      </c>
      <c r="T51" s="9">
        <v>16.827160493827101</v>
      </c>
      <c r="U51" t="s">
        <v>500</v>
      </c>
    </row>
    <row r="52" spans="1:21" x14ac:dyDescent="0.3">
      <c r="A52" s="1">
        <v>4014</v>
      </c>
      <c r="B52" s="1" t="s">
        <v>90</v>
      </c>
      <c r="C52" s="1"/>
      <c r="D52" s="1">
        <v>2022</v>
      </c>
      <c r="E52" s="1" t="s">
        <v>75</v>
      </c>
      <c r="F52" s="1" t="s">
        <v>89</v>
      </c>
      <c r="G52" s="11">
        <v>30</v>
      </c>
      <c r="H52" s="11">
        <v>6.75</v>
      </c>
      <c r="I52" s="11">
        <v>8.1</v>
      </c>
      <c r="J52" s="11">
        <v>32353</v>
      </c>
      <c r="K52" s="11">
        <v>1.5</v>
      </c>
      <c r="L52" s="11">
        <v>0.35</v>
      </c>
      <c r="M52" s="11">
        <v>214.5</v>
      </c>
      <c r="N52" s="11">
        <v>325</v>
      </c>
      <c r="O52" s="9">
        <v>0</v>
      </c>
      <c r="P52" s="9">
        <v>0</v>
      </c>
      <c r="Q52" s="9">
        <v>0</v>
      </c>
      <c r="R52" s="9">
        <v>61.1111111111111</v>
      </c>
      <c r="S52" s="9">
        <v>100</v>
      </c>
      <c r="T52" s="9">
        <v>17.901234567901199</v>
      </c>
      <c r="U52" t="s">
        <v>500</v>
      </c>
    </row>
    <row r="53" spans="1:21" x14ac:dyDescent="0.3">
      <c r="A53" s="1">
        <v>4015</v>
      </c>
      <c r="B53" s="1" t="s">
        <v>91</v>
      </c>
      <c r="C53" s="1"/>
      <c r="D53" s="1">
        <v>2022</v>
      </c>
      <c r="E53" s="1" t="s">
        <v>75</v>
      </c>
      <c r="F53" s="1" t="s">
        <v>89</v>
      </c>
      <c r="G53" s="11">
        <v>28.5</v>
      </c>
      <c r="H53" s="11">
        <v>6.6</v>
      </c>
      <c r="I53" s="11">
        <v>7.9</v>
      </c>
      <c r="J53" s="11">
        <v>41635</v>
      </c>
      <c r="K53" s="11">
        <v>1.45</v>
      </c>
      <c r="L53" s="11">
        <v>0.37</v>
      </c>
      <c r="M53" s="11">
        <v>199.5</v>
      </c>
      <c r="N53" s="11">
        <v>309.5</v>
      </c>
      <c r="O53" s="9">
        <v>0</v>
      </c>
      <c r="P53" s="9">
        <v>0</v>
      </c>
      <c r="Q53" s="9">
        <v>0</v>
      </c>
      <c r="R53" s="9">
        <v>57.6666666666666</v>
      </c>
      <c r="S53" s="9">
        <v>100</v>
      </c>
      <c r="T53" s="9">
        <v>17.518518518518501</v>
      </c>
      <c r="U53" t="s">
        <v>500</v>
      </c>
    </row>
    <row r="54" spans="1:21" x14ac:dyDescent="0.3">
      <c r="A54" s="1">
        <v>4016</v>
      </c>
      <c r="B54" s="1" t="s">
        <v>92</v>
      </c>
      <c r="C54" s="1"/>
      <c r="D54" s="1">
        <v>2022</v>
      </c>
      <c r="E54" s="1" t="s">
        <v>75</v>
      </c>
      <c r="F54" s="1" t="s">
        <v>89</v>
      </c>
      <c r="G54" s="11">
        <v>29</v>
      </c>
      <c r="H54" s="11">
        <v>6.4</v>
      </c>
      <c r="I54" s="11">
        <v>8</v>
      </c>
      <c r="J54" s="11">
        <v>36165</v>
      </c>
      <c r="K54" s="11">
        <v>1.55</v>
      </c>
      <c r="L54" s="11">
        <v>0.32</v>
      </c>
      <c r="M54" s="11">
        <v>116.5</v>
      </c>
      <c r="N54" s="11">
        <v>151.5</v>
      </c>
      <c r="O54" s="9">
        <v>0</v>
      </c>
      <c r="P54" s="9">
        <v>0</v>
      </c>
      <c r="Q54" s="9">
        <v>0</v>
      </c>
      <c r="R54" s="9">
        <v>22.5555555555555</v>
      </c>
      <c r="S54" s="9">
        <v>100</v>
      </c>
      <c r="T54" s="9">
        <v>13.6172839506172</v>
      </c>
      <c r="U54" t="s">
        <v>500</v>
      </c>
    </row>
    <row r="55" spans="1:21" x14ac:dyDescent="0.3">
      <c r="A55" s="1">
        <v>3051</v>
      </c>
      <c r="B55" s="2" t="s">
        <v>239</v>
      </c>
      <c r="C55" s="1" t="s">
        <v>240</v>
      </c>
      <c r="D55" s="1">
        <v>2023</v>
      </c>
      <c r="E55" s="1" t="s">
        <v>94</v>
      </c>
      <c r="F55" s="1" t="s">
        <v>70</v>
      </c>
      <c r="G55" s="11">
        <v>24.5</v>
      </c>
      <c r="H55" s="11">
        <v>2.35</v>
      </c>
      <c r="I55" s="11">
        <v>7.35</v>
      </c>
      <c r="J55" s="11">
        <v>955</v>
      </c>
      <c r="K55" s="11">
        <v>16</v>
      </c>
      <c r="L55" s="11">
        <v>5.3</v>
      </c>
      <c r="M55" s="11">
        <v>190</v>
      </c>
      <c r="N55" s="11">
        <v>3000</v>
      </c>
      <c r="O55" s="9">
        <v>60.8333333333333</v>
      </c>
      <c r="P55" s="9">
        <v>100</v>
      </c>
      <c r="Q55" s="9">
        <v>0</v>
      </c>
      <c r="R55" s="9">
        <v>100</v>
      </c>
      <c r="S55" s="9">
        <v>30.3333333333333</v>
      </c>
      <c r="T55" s="9">
        <v>56.981481481481403</v>
      </c>
      <c r="U55" t="s">
        <v>501</v>
      </c>
    </row>
    <row r="56" spans="1:21" x14ac:dyDescent="0.3">
      <c r="A56" s="1">
        <v>4356</v>
      </c>
      <c r="B56" s="3" t="s">
        <v>241</v>
      </c>
      <c r="C56" s="1" t="s">
        <v>243</v>
      </c>
      <c r="D56" s="1">
        <v>2023</v>
      </c>
      <c r="E56" s="1" t="s">
        <v>94</v>
      </c>
      <c r="F56" s="1" t="s">
        <v>70</v>
      </c>
      <c r="G56" s="11">
        <v>27.5</v>
      </c>
      <c r="H56" s="11">
        <v>5.5</v>
      </c>
      <c r="I56" s="11">
        <v>7.8</v>
      </c>
      <c r="J56" s="11">
        <v>175</v>
      </c>
      <c r="K56" s="11">
        <v>1.95</v>
      </c>
      <c r="L56" s="11">
        <v>0.6</v>
      </c>
      <c r="M56" s="11">
        <v>12</v>
      </c>
      <c r="N56" s="11">
        <v>267.5</v>
      </c>
      <c r="O56" s="9">
        <v>8.3333333333333304</v>
      </c>
      <c r="P56" s="9">
        <v>0</v>
      </c>
      <c r="Q56" s="9">
        <v>0</v>
      </c>
      <c r="R56" s="9">
        <v>48.3333333333333</v>
      </c>
      <c r="S56" s="9">
        <v>0</v>
      </c>
      <c r="T56" s="9">
        <v>8.1481481481481506</v>
      </c>
      <c r="U56" t="s">
        <v>500</v>
      </c>
    </row>
    <row r="57" spans="1:21" x14ac:dyDescent="0.3">
      <c r="A57" s="1">
        <v>4370</v>
      </c>
      <c r="B57" s="2" t="s">
        <v>244</v>
      </c>
      <c r="C57" s="1" t="s">
        <v>245</v>
      </c>
      <c r="D57" s="1">
        <v>2023</v>
      </c>
      <c r="E57" s="1" t="s">
        <v>94</v>
      </c>
      <c r="F57" s="1" t="s">
        <v>70</v>
      </c>
      <c r="G57" s="11">
        <v>25</v>
      </c>
      <c r="H57" s="11">
        <v>6.3</v>
      </c>
      <c r="I57" s="11">
        <v>7.75</v>
      </c>
      <c r="J57" s="11">
        <v>126</v>
      </c>
      <c r="K57" s="11">
        <v>2</v>
      </c>
      <c r="L57" s="11">
        <v>1.5999999999999901</v>
      </c>
      <c r="M57" s="11">
        <v>14</v>
      </c>
      <c r="N57" s="11">
        <v>290</v>
      </c>
      <c r="O57" s="9">
        <v>0</v>
      </c>
      <c r="P57" s="9">
        <v>0</v>
      </c>
      <c r="Q57" s="9">
        <v>0</v>
      </c>
      <c r="R57" s="9">
        <v>53.3333333333333</v>
      </c>
      <c r="S57" s="9">
        <v>0</v>
      </c>
      <c r="T57" s="9">
        <v>5.9259259259259203</v>
      </c>
      <c r="U57" t="s">
        <v>500</v>
      </c>
    </row>
    <row r="58" spans="1:21" x14ac:dyDescent="0.3">
      <c r="A58" s="1">
        <v>2354</v>
      </c>
      <c r="B58" s="3" t="s">
        <v>246</v>
      </c>
      <c r="C58" s="1" t="s">
        <v>247</v>
      </c>
      <c r="D58" s="1">
        <v>2023</v>
      </c>
      <c r="E58" s="1" t="s">
        <v>94</v>
      </c>
      <c r="F58" s="1" t="s">
        <v>70</v>
      </c>
      <c r="G58" s="11">
        <v>26</v>
      </c>
      <c r="H58" s="11">
        <v>5.2</v>
      </c>
      <c r="I58" s="11">
        <v>7.35</v>
      </c>
      <c r="J58" s="11">
        <v>152.5</v>
      </c>
      <c r="K58" s="11">
        <v>3.8</v>
      </c>
      <c r="L58" s="11">
        <v>1.5999999999999901</v>
      </c>
      <c r="M58" s="11">
        <v>17.5</v>
      </c>
      <c r="N58" s="11">
        <v>582</v>
      </c>
      <c r="O58" s="9">
        <v>13.3333333333333</v>
      </c>
      <c r="P58" s="9">
        <v>26.6666666666666</v>
      </c>
      <c r="Q58" s="9">
        <v>0</v>
      </c>
      <c r="R58" s="9">
        <v>100</v>
      </c>
      <c r="S58" s="9">
        <v>0</v>
      </c>
      <c r="T58" s="9">
        <v>21.481481481481399</v>
      </c>
      <c r="U58" t="s">
        <v>500</v>
      </c>
    </row>
    <row r="59" spans="1:21" x14ac:dyDescent="0.3">
      <c r="A59" s="1">
        <v>4374</v>
      </c>
      <c r="B59" s="2" t="s">
        <v>248</v>
      </c>
      <c r="C59" s="1" t="s">
        <v>249</v>
      </c>
      <c r="D59" s="1">
        <v>2023</v>
      </c>
      <c r="E59" s="1" t="s">
        <v>94</v>
      </c>
      <c r="F59" s="1" t="s">
        <v>70</v>
      </c>
      <c r="G59" s="11">
        <v>26</v>
      </c>
      <c r="H59" s="11">
        <v>5.75</v>
      </c>
      <c r="I59" s="11">
        <v>7.8</v>
      </c>
      <c r="J59" s="11">
        <v>125</v>
      </c>
      <c r="K59" s="11">
        <v>2.9</v>
      </c>
      <c r="L59" s="11">
        <v>4.45</v>
      </c>
      <c r="M59" s="11">
        <v>7.5</v>
      </c>
      <c r="N59" s="11">
        <v>180</v>
      </c>
      <c r="O59" s="9">
        <v>4.1666666666666599</v>
      </c>
      <c r="P59" s="9">
        <v>0</v>
      </c>
      <c r="Q59" s="9">
        <v>0</v>
      </c>
      <c r="R59" s="9">
        <v>28.8888888888888</v>
      </c>
      <c r="S59" s="9">
        <v>0</v>
      </c>
      <c r="T59" s="9">
        <v>4.5987654320987597</v>
      </c>
      <c r="U59" t="s">
        <v>500</v>
      </c>
    </row>
    <row r="60" spans="1:21" x14ac:dyDescent="0.3">
      <c r="A60" s="1">
        <v>2057</v>
      </c>
      <c r="B60" s="3" t="s">
        <v>250</v>
      </c>
      <c r="C60" s="1" t="s">
        <v>251</v>
      </c>
      <c r="D60" s="1">
        <v>2023</v>
      </c>
      <c r="E60" s="1" t="s">
        <v>94</v>
      </c>
      <c r="F60" s="1" t="s">
        <v>100</v>
      </c>
      <c r="G60" s="11">
        <v>365</v>
      </c>
      <c r="H60" s="11">
        <v>0.9</v>
      </c>
      <c r="I60" s="11">
        <v>7.3</v>
      </c>
      <c r="J60" s="11"/>
      <c r="K60" s="11">
        <v>39</v>
      </c>
      <c r="L60" s="11"/>
      <c r="M60" s="11">
        <v>225000</v>
      </c>
      <c r="N60" s="11"/>
      <c r="O60" s="9">
        <v>84.999999999999901</v>
      </c>
      <c r="P60" s="9">
        <v>100</v>
      </c>
      <c r="Q60" s="9">
        <v>0</v>
      </c>
      <c r="R60" s="9"/>
      <c r="S60" s="9"/>
      <c r="T60" s="9">
        <v>50.5555555555555</v>
      </c>
      <c r="U60" t="s">
        <v>501</v>
      </c>
    </row>
    <row r="61" spans="1:21" x14ac:dyDescent="0.3">
      <c r="A61" s="1">
        <v>1479</v>
      </c>
      <c r="B61" s="2" t="s">
        <v>252</v>
      </c>
      <c r="C61" s="1" t="s">
        <v>253</v>
      </c>
      <c r="D61" s="1">
        <v>2023</v>
      </c>
      <c r="E61" s="1" t="s">
        <v>94</v>
      </c>
      <c r="F61" s="1" t="s">
        <v>100</v>
      </c>
      <c r="G61" s="11">
        <v>426</v>
      </c>
      <c r="H61" s="11"/>
      <c r="I61" s="11">
        <v>7.4499999999999904</v>
      </c>
      <c r="J61" s="11"/>
      <c r="K61" s="11"/>
      <c r="L61" s="11">
        <v>0.44999999999999901</v>
      </c>
      <c r="M61" s="11"/>
      <c r="N61" s="11"/>
      <c r="O61" s="9"/>
      <c r="P61" s="9"/>
      <c r="Q61" s="9">
        <v>0</v>
      </c>
      <c r="R61" s="9"/>
      <c r="S61" s="9"/>
      <c r="T61" s="9">
        <v>0</v>
      </c>
      <c r="U61" t="s">
        <v>500</v>
      </c>
    </row>
    <row r="62" spans="1:21" x14ac:dyDescent="0.3">
      <c r="A62" s="1">
        <v>2265</v>
      </c>
      <c r="B62" s="3" t="s">
        <v>254</v>
      </c>
      <c r="C62" s="1" t="s">
        <v>255</v>
      </c>
      <c r="D62" s="1">
        <v>2023</v>
      </c>
      <c r="E62" s="1" t="s">
        <v>94</v>
      </c>
      <c r="F62" s="1" t="s">
        <v>89</v>
      </c>
      <c r="G62" s="11">
        <v>29</v>
      </c>
      <c r="H62" s="11">
        <v>6.2</v>
      </c>
      <c r="I62" s="11">
        <v>6.5</v>
      </c>
      <c r="J62" s="11">
        <v>716.5</v>
      </c>
      <c r="K62" s="11">
        <v>1.35</v>
      </c>
      <c r="L62" s="11">
        <v>0.55000000000000004</v>
      </c>
      <c r="M62" s="11">
        <v>1650</v>
      </c>
      <c r="N62" s="11">
        <v>5300</v>
      </c>
      <c r="O62" s="9">
        <v>0</v>
      </c>
      <c r="P62" s="9">
        <v>0</v>
      </c>
      <c r="Q62" s="9">
        <v>0</v>
      </c>
      <c r="R62" s="9">
        <v>100</v>
      </c>
      <c r="S62" s="9">
        <v>14.4333333333333</v>
      </c>
      <c r="T62" s="9">
        <v>12.714814814814799</v>
      </c>
      <c r="U62" t="s">
        <v>500</v>
      </c>
    </row>
    <row r="63" spans="1:21" x14ac:dyDescent="0.3">
      <c r="A63" s="1">
        <v>2266</v>
      </c>
      <c r="B63" s="2" t="s">
        <v>256</v>
      </c>
      <c r="C63" s="1" t="s">
        <v>257</v>
      </c>
      <c r="D63" s="1">
        <v>2023</v>
      </c>
      <c r="E63" s="1" t="s">
        <v>94</v>
      </c>
      <c r="F63" s="1" t="s">
        <v>89</v>
      </c>
      <c r="G63" s="11">
        <v>28.5</v>
      </c>
      <c r="H63" s="11">
        <v>6.3</v>
      </c>
      <c r="I63" s="11">
        <v>6.65</v>
      </c>
      <c r="J63" s="11">
        <v>216</v>
      </c>
      <c r="K63" s="11">
        <v>1.5</v>
      </c>
      <c r="L63" s="11">
        <v>0.95</v>
      </c>
      <c r="M63" s="11">
        <v>1450</v>
      </c>
      <c r="N63" s="11">
        <v>4150</v>
      </c>
      <c r="O63" s="9">
        <v>0</v>
      </c>
      <c r="P63" s="9">
        <v>0</v>
      </c>
      <c r="Q63" s="9">
        <v>0</v>
      </c>
      <c r="R63" s="9">
        <v>100</v>
      </c>
      <c r="S63" s="9">
        <v>0</v>
      </c>
      <c r="T63" s="9">
        <v>11.1111111111111</v>
      </c>
      <c r="U63" t="s">
        <v>500</v>
      </c>
    </row>
    <row r="64" spans="1:21" x14ac:dyDescent="0.3">
      <c r="A64" s="1">
        <v>2268</v>
      </c>
      <c r="B64" s="3" t="s">
        <v>258</v>
      </c>
      <c r="C64" s="1" t="s">
        <v>259</v>
      </c>
      <c r="D64" s="1">
        <v>2023</v>
      </c>
      <c r="E64" s="1" t="s">
        <v>94</v>
      </c>
      <c r="F64" s="1" t="s">
        <v>89</v>
      </c>
      <c r="G64" s="11">
        <v>28</v>
      </c>
      <c r="H64" s="11">
        <v>5.85</v>
      </c>
      <c r="I64" s="11">
        <v>7.25</v>
      </c>
      <c r="J64" s="11">
        <v>627.5</v>
      </c>
      <c r="K64" s="11">
        <v>1.5</v>
      </c>
      <c r="L64" s="11">
        <v>0.44999999999999901</v>
      </c>
      <c r="M64" s="11">
        <v>1420</v>
      </c>
      <c r="N64" s="11">
        <v>2210</v>
      </c>
      <c r="O64" s="9">
        <v>2.5</v>
      </c>
      <c r="P64" s="9">
        <v>0</v>
      </c>
      <c r="Q64" s="9">
        <v>0</v>
      </c>
      <c r="R64" s="9">
        <v>100</v>
      </c>
      <c r="S64" s="9">
        <v>8.5</v>
      </c>
      <c r="T64" s="9">
        <v>12.8888888888888</v>
      </c>
      <c r="U64" t="s">
        <v>500</v>
      </c>
    </row>
    <row r="65" spans="1:21" x14ac:dyDescent="0.3">
      <c r="A65" s="1">
        <v>2073</v>
      </c>
      <c r="B65" s="2" t="s">
        <v>260</v>
      </c>
      <c r="C65" s="1" t="s">
        <v>261</v>
      </c>
      <c r="D65" s="1">
        <v>2023</v>
      </c>
      <c r="E65" s="1" t="s">
        <v>94</v>
      </c>
      <c r="F65" s="1" t="s">
        <v>106</v>
      </c>
      <c r="G65" s="11">
        <v>30</v>
      </c>
      <c r="H65" s="11">
        <v>6.1999999999999904</v>
      </c>
      <c r="I65" s="11">
        <v>7.85</v>
      </c>
      <c r="J65" s="11">
        <v>108</v>
      </c>
      <c r="K65" s="11">
        <v>1.1499999999999999</v>
      </c>
      <c r="L65" s="11">
        <v>0.8</v>
      </c>
      <c r="M65" s="11">
        <v>2</v>
      </c>
      <c r="N65" s="11">
        <v>12.5</v>
      </c>
      <c r="O65" s="9">
        <v>0</v>
      </c>
      <c r="P65" s="9">
        <v>0</v>
      </c>
      <c r="Q65" s="9">
        <v>0</v>
      </c>
      <c r="R65" s="9">
        <v>0</v>
      </c>
      <c r="S65" s="9">
        <v>0</v>
      </c>
      <c r="T65" s="9">
        <v>0</v>
      </c>
      <c r="U65" t="s">
        <v>500</v>
      </c>
    </row>
    <row r="66" spans="1:21" x14ac:dyDescent="0.3">
      <c r="A66" s="1">
        <v>5521</v>
      </c>
      <c r="B66" s="1" t="s">
        <v>366</v>
      </c>
      <c r="C66" s="1" t="s">
        <v>107</v>
      </c>
      <c r="D66" s="1">
        <v>2023</v>
      </c>
      <c r="E66" s="1" t="s">
        <v>108</v>
      </c>
      <c r="F66" s="1" t="s">
        <v>109</v>
      </c>
      <c r="G66" s="11">
        <v>28.5</v>
      </c>
      <c r="H66" s="11">
        <v>7.35</v>
      </c>
      <c r="I66" s="11">
        <v>7.3</v>
      </c>
      <c r="J66" s="11">
        <v>269</v>
      </c>
      <c r="K66" s="11">
        <v>4.6500000000000004</v>
      </c>
      <c r="L66" s="11">
        <v>1.7</v>
      </c>
      <c r="M66" s="11">
        <v>751</v>
      </c>
      <c r="N66" s="11">
        <v>1930</v>
      </c>
      <c r="O66" s="9">
        <v>0</v>
      </c>
      <c r="P66" s="9">
        <v>55</v>
      </c>
      <c r="Q66" s="9">
        <v>0</v>
      </c>
      <c r="R66" s="9">
        <v>100</v>
      </c>
      <c r="S66" s="9">
        <v>0</v>
      </c>
      <c r="T66" s="9">
        <v>23.3333333333333</v>
      </c>
      <c r="U66" t="s">
        <v>500</v>
      </c>
    </row>
    <row r="67" spans="1:21" x14ac:dyDescent="0.3">
      <c r="A67" s="1">
        <v>5522</v>
      </c>
      <c r="B67" s="1" t="s">
        <v>366</v>
      </c>
      <c r="C67" s="1" t="s">
        <v>110</v>
      </c>
      <c r="D67" s="1">
        <v>2023</v>
      </c>
      <c r="E67" s="1" t="s">
        <v>108</v>
      </c>
      <c r="F67" s="1" t="s">
        <v>109</v>
      </c>
      <c r="G67" s="11">
        <v>27.5</v>
      </c>
      <c r="H67" s="11">
        <v>8</v>
      </c>
      <c r="I67" s="11">
        <v>8.1</v>
      </c>
      <c r="J67" s="11">
        <v>277</v>
      </c>
      <c r="K67" s="11">
        <v>5.5</v>
      </c>
      <c r="L67" s="11">
        <v>1.7999999999999901</v>
      </c>
      <c r="M67" s="11">
        <v>515</v>
      </c>
      <c r="N67" s="11">
        <v>801</v>
      </c>
      <c r="O67" s="9">
        <v>0</v>
      </c>
      <c r="P67" s="9">
        <v>83.3333333333333</v>
      </c>
      <c r="Q67" s="9">
        <v>0</v>
      </c>
      <c r="R67" s="9">
        <v>100</v>
      </c>
      <c r="S67" s="9">
        <v>0</v>
      </c>
      <c r="T67" s="9">
        <v>29.629629629629601</v>
      </c>
      <c r="U67" t="s">
        <v>500</v>
      </c>
    </row>
    <row r="68" spans="1:21" x14ac:dyDescent="0.3">
      <c r="A68" s="1">
        <v>3821</v>
      </c>
      <c r="B68" s="1" t="s">
        <v>378</v>
      </c>
      <c r="C68" s="1" t="s">
        <v>379</v>
      </c>
      <c r="D68" s="1">
        <v>2023</v>
      </c>
      <c r="E68" s="1" t="s">
        <v>108</v>
      </c>
      <c r="F68" s="1" t="s">
        <v>109</v>
      </c>
      <c r="G68" s="11">
        <v>27.5</v>
      </c>
      <c r="H68" s="11">
        <v>5.4</v>
      </c>
      <c r="I68" s="11">
        <v>7.3</v>
      </c>
      <c r="J68" s="11">
        <v>127</v>
      </c>
      <c r="K68" s="11">
        <v>2.2000000000000002</v>
      </c>
      <c r="L68" s="11">
        <v>1.4</v>
      </c>
      <c r="M68" s="11">
        <v>330</v>
      </c>
      <c r="N68" s="11">
        <v>1060</v>
      </c>
      <c r="O68" s="9">
        <v>9.9999999999999893</v>
      </c>
      <c r="P68" s="9">
        <v>0</v>
      </c>
      <c r="Q68" s="9">
        <v>0</v>
      </c>
      <c r="R68" s="9">
        <v>100</v>
      </c>
      <c r="S68" s="9">
        <v>0</v>
      </c>
      <c r="T68" s="9">
        <v>14.4444444444444</v>
      </c>
      <c r="U68" t="s">
        <v>500</v>
      </c>
    </row>
    <row r="69" spans="1:21" x14ac:dyDescent="0.3">
      <c r="A69" s="1">
        <v>5619</v>
      </c>
      <c r="B69" s="1" t="s">
        <v>380</v>
      </c>
      <c r="C69" s="1" t="s">
        <v>381</v>
      </c>
      <c r="D69" s="1">
        <v>2023</v>
      </c>
      <c r="E69" s="1" t="s">
        <v>108</v>
      </c>
      <c r="F69" s="1" t="s">
        <v>109</v>
      </c>
      <c r="G69" s="11">
        <v>25</v>
      </c>
      <c r="H69" s="11">
        <v>5.3</v>
      </c>
      <c r="I69" s="11">
        <v>7.1</v>
      </c>
      <c r="J69" s="11">
        <v>137</v>
      </c>
      <c r="K69" s="11">
        <v>3.9</v>
      </c>
      <c r="L69" s="11">
        <v>0.9</v>
      </c>
      <c r="M69" s="11">
        <v>460</v>
      </c>
      <c r="N69" s="11">
        <v>1115</v>
      </c>
      <c r="O69" s="9">
        <v>11.6666666666666</v>
      </c>
      <c r="P69" s="9">
        <v>29.999999999999901</v>
      </c>
      <c r="Q69" s="9">
        <v>0</v>
      </c>
      <c r="R69" s="9">
        <v>100</v>
      </c>
      <c r="S69" s="9">
        <v>0</v>
      </c>
      <c r="T69" s="9">
        <v>21.6666666666666</v>
      </c>
      <c r="U69" t="s">
        <v>500</v>
      </c>
    </row>
    <row r="70" spans="1:21" x14ac:dyDescent="0.3">
      <c r="A70" s="1">
        <v>1263</v>
      </c>
      <c r="B70" s="1" t="s">
        <v>382</v>
      </c>
      <c r="C70" s="1" t="s">
        <v>262</v>
      </c>
      <c r="D70" s="1">
        <v>2023</v>
      </c>
      <c r="E70" s="1" t="s">
        <v>108</v>
      </c>
      <c r="F70" s="1" t="s">
        <v>109</v>
      </c>
      <c r="G70" s="11">
        <v>25</v>
      </c>
      <c r="H70" s="11">
        <v>4.9000000000000004</v>
      </c>
      <c r="I70" s="11">
        <v>7.25</v>
      </c>
      <c r="J70" s="11">
        <v>258</v>
      </c>
      <c r="K70" s="11">
        <v>2.5499999999999998</v>
      </c>
      <c r="L70" s="11">
        <v>1.6</v>
      </c>
      <c r="M70" s="11">
        <v>515</v>
      </c>
      <c r="N70" s="11">
        <v>1360</v>
      </c>
      <c r="O70" s="9">
        <v>18.3333333333333</v>
      </c>
      <c r="P70" s="9">
        <v>0</v>
      </c>
      <c r="Q70" s="9">
        <v>0</v>
      </c>
      <c r="R70" s="9">
        <v>100</v>
      </c>
      <c r="S70" s="9">
        <v>0</v>
      </c>
      <c r="T70" s="9">
        <v>17.2222222222222</v>
      </c>
      <c r="U70" t="s">
        <v>500</v>
      </c>
    </row>
    <row r="71" spans="1:21" x14ac:dyDescent="0.3">
      <c r="A71" s="1">
        <v>5623</v>
      </c>
      <c r="B71" s="1" t="s">
        <v>263</v>
      </c>
      <c r="C71" s="1" t="s">
        <v>264</v>
      </c>
      <c r="D71" s="1">
        <v>2023</v>
      </c>
      <c r="E71" s="1" t="s">
        <v>108</v>
      </c>
      <c r="F71" s="1" t="s">
        <v>109</v>
      </c>
      <c r="G71" s="11">
        <v>20.5</v>
      </c>
      <c r="H71" s="11">
        <v>5.4499999999999904</v>
      </c>
      <c r="I71" s="11">
        <v>7</v>
      </c>
      <c r="J71" s="11">
        <v>160.5</v>
      </c>
      <c r="K71" s="11">
        <v>2.4</v>
      </c>
      <c r="L71" s="11">
        <v>0.9</v>
      </c>
      <c r="M71" s="11">
        <v>330</v>
      </c>
      <c r="N71" s="11">
        <v>1060</v>
      </c>
      <c r="O71" s="9">
        <v>9.1666666666666696</v>
      </c>
      <c r="P71" s="9">
        <v>0</v>
      </c>
      <c r="Q71" s="9">
        <v>0</v>
      </c>
      <c r="R71" s="9">
        <v>100</v>
      </c>
      <c r="S71" s="9">
        <v>0</v>
      </c>
      <c r="T71" s="9">
        <v>14.1666666666666</v>
      </c>
      <c r="U71" t="s">
        <v>500</v>
      </c>
    </row>
    <row r="72" spans="1:21" x14ac:dyDescent="0.3">
      <c r="A72" s="1">
        <v>3787</v>
      </c>
      <c r="B72" s="1" t="s">
        <v>383</v>
      </c>
      <c r="C72" s="1" t="s">
        <v>384</v>
      </c>
      <c r="D72" s="1">
        <v>2023</v>
      </c>
      <c r="E72" s="1" t="s">
        <v>108</v>
      </c>
      <c r="F72" s="1" t="s">
        <v>109</v>
      </c>
      <c r="G72" s="11">
        <v>23</v>
      </c>
      <c r="H72" s="11">
        <v>6.15</v>
      </c>
      <c r="I72" s="11">
        <v>7.1</v>
      </c>
      <c r="J72" s="11">
        <v>122</v>
      </c>
      <c r="K72" s="11">
        <v>2.2999999999999998</v>
      </c>
      <c r="L72" s="11">
        <v>1.3</v>
      </c>
      <c r="M72" s="11">
        <v>460</v>
      </c>
      <c r="N72" s="11">
        <v>950</v>
      </c>
      <c r="O72" s="9">
        <v>0</v>
      </c>
      <c r="P72" s="9">
        <v>0</v>
      </c>
      <c r="Q72" s="9">
        <v>0</v>
      </c>
      <c r="R72" s="9">
        <v>100</v>
      </c>
      <c r="S72" s="9">
        <v>0</v>
      </c>
      <c r="T72" s="9">
        <v>11.1111111111111</v>
      </c>
      <c r="U72" t="s">
        <v>500</v>
      </c>
    </row>
    <row r="73" spans="1:21" x14ac:dyDescent="0.3">
      <c r="A73" s="1">
        <v>5617</v>
      </c>
      <c r="B73" s="1" t="s">
        <v>265</v>
      </c>
      <c r="C73" s="1" t="s">
        <v>266</v>
      </c>
      <c r="D73" s="1">
        <v>2023</v>
      </c>
      <c r="E73" s="1" t="s">
        <v>108</v>
      </c>
      <c r="F73" s="1" t="s">
        <v>109</v>
      </c>
      <c r="G73" s="11">
        <v>27.5</v>
      </c>
      <c r="H73" s="11">
        <v>6.5</v>
      </c>
      <c r="I73" s="11">
        <v>7.25</v>
      </c>
      <c r="J73" s="11">
        <v>99</v>
      </c>
      <c r="K73" s="11">
        <v>2.2999999999999998</v>
      </c>
      <c r="L73" s="11">
        <v>0.75</v>
      </c>
      <c r="M73" s="11">
        <v>330</v>
      </c>
      <c r="N73" s="11">
        <v>1060</v>
      </c>
      <c r="O73" s="9">
        <v>0</v>
      </c>
      <c r="P73" s="9">
        <v>0</v>
      </c>
      <c r="Q73" s="9">
        <v>0</v>
      </c>
      <c r="R73" s="9">
        <v>100</v>
      </c>
      <c r="S73" s="9">
        <v>0</v>
      </c>
      <c r="T73" s="9">
        <v>11.1111111111111</v>
      </c>
      <c r="U73" t="s">
        <v>500</v>
      </c>
    </row>
    <row r="74" spans="1:21" x14ac:dyDescent="0.3">
      <c r="A74" s="1">
        <v>4337</v>
      </c>
      <c r="B74" s="1" t="s">
        <v>385</v>
      </c>
      <c r="C74" s="1" t="s">
        <v>386</v>
      </c>
      <c r="D74" s="1">
        <v>2023</v>
      </c>
      <c r="E74" s="1" t="s">
        <v>108</v>
      </c>
      <c r="F74" s="1" t="s">
        <v>109</v>
      </c>
      <c r="G74" s="11">
        <v>25.5</v>
      </c>
      <c r="H74" s="11">
        <v>6.25</v>
      </c>
      <c r="I74" s="11">
        <v>7.05</v>
      </c>
      <c r="J74" s="11">
        <v>92</v>
      </c>
      <c r="K74" s="11">
        <v>2.2000000000000002</v>
      </c>
      <c r="L74" s="11">
        <v>1</v>
      </c>
      <c r="M74" s="11">
        <v>540</v>
      </c>
      <c r="N74" s="11">
        <v>755</v>
      </c>
      <c r="O74" s="9">
        <v>0</v>
      </c>
      <c r="P74" s="9">
        <v>0</v>
      </c>
      <c r="Q74" s="9">
        <v>0</v>
      </c>
      <c r="R74" s="9">
        <v>100</v>
      </c>
      <c r="S74" s="9">
        <v>0</v>
      </c>
      <c r="T74" s="9">
        <v>11.1111111111111</v>
      </c>
      <c r="U74" t="s">
        <v>500</v>
      </c>
    </row>
    <row r="75" spans="1:21" x14ac:dyDescent="0.3">
      <c r="A75" s="1">
        <v>3812</v>
      </c>
      <c r="B75" s="1" t="s">
        <v>267</v>
      </c>
      <c r="C75" s="1" t="s">
        <v>268</v>
      </c>
      <c r="D75" s="1">
        <v>2023</v>
      </c>
      <c r="E75" s="1" t="s">
        <v>108</v>
      </c>
      <c r="F75" s="1" t="s">
        <v>109</v>
      </c>
      <c r="G75" s="11">
        <v>28.5</v>
      </c>
      <c r="H75" s="11">
        <v>3.25</v>
      </c>
      <c r="I75" s="11">
        <v>7.4</v>
      </c>
      <c r="J75" s="11">
        <v>1034.5</v>
      </c>
      <c r="K75" s="11">
        <v>23.6</v>
      </c>
      <c r="L75" s="11">
        <v>2.8</v>
      </c>
      <c r="M75" s="11">
        <v>1230</v>
      </c>
      <c r="N75" s="11">
        <v>2550</v>
      </c>
      <c r="O75" s="9">
        <v>45.8333333333333</v>
      </c>
      <c r="P75" s="9">
        <v>100</v>
      </c>
      <c r="Q75" s="9">
        <v>0</v>
      </c>
      <c r="R75" s="9">
        <v>100</v>
      </c>
      <c r="S75" s="9">
        <v>35.633333333333297</v>
      </c>
      <c r="T75" s="9">
        <v>52.570370370370298</v>
      </c>
      <c r="U75" t="s">
        <v>501</v>
      </c>
    </row>
    <row r="76" spans="1:21" x14ac:dyDescent="0.3">
      <c r="A76" s="1">
        <v>5621</v>
      </c>
      <c r="B76" s="1" t="s">
        <v>269</v>
      </c>
      <c r="C76" s="1" t="s">
        <v>270</v>
      </c>
      <c r="D76" s="1">
        <v>2023</v>
      </c>
      <c r="E76" s="1" t="s">
        <v>108</v>
      </c>
      <c r="F76" s="1" t="s">
        <v>109</v>
      </c>
      <c r="G76" s="11">
        <v>28.5</v>
      </c>
      <c r="H76" s="11">
        <v>5.3</v>
      </c>
      <c r="I76" s="11">
        <v>7.25</v>
      </c>
      <c r="J76" s="11">
        <v>142</v>
      </c>
      <c r="K76" s="11">
        <v>2.35</v>
      </c>
      <c r="L76" s="11">
        <v>0.85</v>
      </c>
      <c r="M76" s="11">
        <v>670</v>
      </c>
      <c r="N76" s="11">
        <v>1360</v>
      </c>
      <c r="O76" s="9">
        <v>11.6666666666666</v>
      </c>
      <c r="P76" s="9">
        <v>0</v>
      </c>
      <c r="Q76" s="9">
        <v>0</v>
      </c>
      <c r="R76" s="9">
        <v>100</v>
      </c>
      <c r="S76" s="9">
        <v>0</v>
      </c>
      <c r="T76" s="9">
        <v>15</v>
      </c>
      <c r="U76" t="s">
        <v>500</v>
      </c>
    </row>
    <row r="77" spans="1:21" x14ac:dyDescent="0.3">
      <c r="A77" s="1">
        <v>3783</v>
      </c>
      <c r="B77" s="1" t="s">
        <v>271</v>
      </c>
      <c r="C77" s="1" t="s">
        <v>272</v>
      </c>
      <c r="D77" s="1">
        <v>2023</v>
      </c>
      <c r="E77" s="1" t="s">
        <v>108</v>
      </c>
      <c r="F77" s="1" t="s">
        <v>109</v>
      </c>
      <c r="G77" s="11">
        <v>25</v>
      </c>
      <c r="H77" s="11">
        <v>7.3999999999999897</v>
      </c>
      <c r="I77" s="11">
        <v>6.9</v>
      </c>
      <c r="J77" s="11">
        <v>139</v>
      </c>
      <c r="K77" s="11">
        <v>2.2999999999999998</v>
      </c>
      <c r="L77" s="11">
        <v>1.1499999999999999</v>
      </c>
      <c r="M77" s="11">
        <v>490</v>
      </c>
      <c r="N77" s="11">
        <v>1115</v>
      </c>
      <c r="O77" s="9">
        <v>0</v>
      </c>
      <c r="P77" s="9">
        <v>0</v>
      </c>
      <c r="Q77" s="9">
        <v>0</v>
      </c>
      <c r="R77" s="9">
        <v>100</v>
      </c>
      <c r="S77" s="9">
        <v>0</v>
      </c>
      <c r="T77" s="9">
        <v>11.1111111111111</v>
      </c>
      <c r="U77" t="s">
        <v>500</v>
      </c>
    </row>
    <row r="78" spans="1:21" x14ac:dyDescent="0.3">
      <c r="A78" s="1">
        <v>5622</v>
      </c>
      <c r="B78" s="1" t="s">
        <v>273</v>
      </c>
      <c r="C78" s="1" t="s">
        <v>274</v>
      </c>
      <c r="D78" s="1">
        <v>2023</v>
      </c>
      <c r="E78" s="1" t="s">
        <v>108</v>
      </c>
      <c r="F78" s="1" t="s">
        <v>109</v>
      </c>
      <c r="G78" s="11">
        <v>24</v>
      </c>
      <c r="H78" s="11">
        <v>7.25</v>
      </c>
      <c r="I78" s="11">
        <v>7.35</v>
      </c>
      <c r="J78" s="11">
        <v>141</v>
      </c>
      <c r="K78" s="11">
        <v>2.25</v>
      </c>
      <c r="L78" s="11">
        <v>0.89999999999999902</v>
      </c>
      <c r="M78" s="11">
        <v>330</v>
      </c>
      <c r="N78" s="11">
        <v>1005</v>
      </c>
      <c r="O78" s="9">
        <v>0</v>
      </c>
      <c r="P78" s="9">
        <v>0</v>
      </c>
      <c r="Q78" s="9">
        <v>0</v>
      </c>
      <c r="R78" s="9">
        <v>100</v>
      </c>
      <c r="S78" s="9">
        <v>0</v>
      </c>
      <c r="T78" s="9">
        <v>11.1111111111111</v>
      </c>
      <c r="U78" t="s">
        <v>500</v>
      </c>
    </row>
    <row r="79" spans="1:21" x14ac:dyDescent="0.3">
      <c r="A79" s="1">
        <v>3800</v>
      </c>
      <c r="B79" s="1" t="s">
        <v>387</v>
      </c>
      <c r="C79" s="1" t="s">
        <v>388</v>
      </c>
      <c r="D79" s="1">
        <v>2023</v>
      </c>
      <c r="E79" s="1" t="s">
        <v>108</v>
      </c>
      <c r="F79" s="1" t="s">
        <v>109</v>
      </c>
      <c r="G79" s="11">
        <v>23</v>
      </c>
      <c r="H79" s="11">
        <v>4.75</v>
      </c>
      <c r="I79" s="11">
        <v>6.9</v>
      </c>
      <c r="J79" s="11">
        <v>152</v>
      </c>
      <c r="K79" s="11">
        <v>2.4</v>
      </c>
      <c r="L79" s="11">
        <v>1.25</v>
      </c>
      <c r="M79" s="11">
        <v>450</v>
      </c>
      <c r="N79" s="11">
        <v>1155</v>
      </c>
      <c r="O79" s="9">
        <v>20.8333333333333</v>
      </c>
      <c r="P79" s="9">
        <v>0</v>
      </c>
      <c r="Q79" s="9">
        <v>0</v>
      </c>
      <c r="R79" s="9">
        <v>100</v>
      </c>
      <c r="S79" s="9">
        <v>0</v>
      </c>
      <c r="T79" s="9">
        <v>18.0555555555555</v>
      </c>
      <c r="U79" t="s">
        <v>500</v>
      </c>
    </row>
    <row r="80" spans="1:21" x14ac:dyDescent="0.3">
      <c r="A80" s="1">
        <v>2205</v>
      </c>
      <c r="B80" s="1" t="s">
        <v>275</v>
      </c>
      <c r="C80" s="1" t="s">
        <v>262</v>
      </c>
      <c r="D80" s="1">
        <v>2023</v>
      </c>
      <c r="E80" s="1" t="s">
        <v>108</v>
      </c>
      <c r="F80" s="1" t="s">
        <v>109</v>
      </c>
      <c r="G80" s="11">
        <v>22.5</v>
      </c>
      <c r="H80" s="11">
        <v>6.05</v>
      </c>
      <c r="I80" s="11">
        <v>7.05</v>
      </c>
      <c r="J80" s="11">
        <v>137</v>
      </c>
      <c r="K80" s="11">
        <v>2.2000000000000002</v>
      </c>
      <c r="L80" s="11">
        <v>1.2</v>
      </c>
      <c r="M80" s="11">
        <v>675</v>
      </c>
      <c r="N80" s="11">
        <v>1110</v>
      </c>
      <c r="O80" s="9">
        <v>0</v>
      </c>
      <c r="P80" s="9">
        <v>0</v>
      </c>
      <c r="Q80" s="9">
        <v>0</v>
      </c>
      <c r="R80" s="9">
        <v>100</v>
      </c>
      <c r="S80" s="9">
        <v>0</v>
      </c>
      <c r="T80" s="9">
        <v>11.1111111111111</v>
      </c>
      <c r="U80" t="s">
        <v>500</v>
      </c>
    </row>
    <row r="81" spans="1:21" x14ac:dyDescent="0.3">
      <c r="A81" s="1">
        <v>5620</v>
      </c>
      <c r="B81" s="1" t="s">
        <v>276</v>
      </c>
      <c r="C81" s="1" t="s">
        <v>277</v>
      </c>
      <c r="D81" s="1">
        <v>2023</v>
      </c>
      <c r="E81" s="1" t="s">
        <v>108</v>
      </c>
      <c r="F81" s="1" t="s">
        <v>109</v>
      </c>
      <c r="G81" s="11">
        <v>30</v>
      </c>
      <c r="H81" s="11">
        <v>5.6</v>
      </c>
      <c r="I81" s="11">
        <v>7.1</v>
      </c>
      <c r="J81" s="11">
        <v>102</v>
      </c>
      <c r="K81" s="11">
        <v>2.2000000000000002</v>
      </c>
      <c r="L81" s="11">
        <v>0.95</v>
      </c>
      <c r="M81" s="11">
        <v>605</v>
      </c>
      <c r="N81" s="11">
        <v>1600</v>
      </c>
      <c r="O81" s="9">
        <v>6.6666666666666696</v>
      </c>
      <c r="P81" s="9">
        <v>0</v>
      </c>
      <c r="Q81" s="9">
        <v>0</v>
      </c>
      <c r="R81" s="9">
        <v>100</v>
      </c>
      <c r="S81" s="9">
        <v>0</v>
      </c>
      <c r="T81" s="9">
        <v>13.3333333333333</v>
      </c>
      <c r="U81" t="s">
        <v>500</v>
      </c>
    </row>
    <row r="82" spans="1:21" x14ac:dyDescent="0.3">
      <c r="A82" s="1">
        <v>3808</v>
      </c>
      <c r="B82" s="1" t="s">
        <v>391</v>
      </c>
      <c r="C82" s="1" t="s">
        <v>392</v>
      </c>
      <c r="D82" s="1">
        <v>2023</v>
      </c>
      <c r="E82" s="1" t="s">
        <v>108</v>
      </c>
      <c r="F82" s="1" t="s">
        <v>109</v>
      </c>
      <c r="G82" s="11">
        <v>27.5</v>
      </c>
      <c r="H82" s="11">
        <v>6.1</v>
      </c>
      <c r="I82" s="11">
        <v>7.25</v>
      </c>
      <c r="J82" s="11">
        <v>120</v>
      </c>
      <c r="K82" s="11">
        <v>2.35</v>
      </c>
      <c r="L82" s="11">
        <v>1.65</v>
      </c>
      <c r="M82" s="11">
        <v>455</v>
      </c>
      <c r="N82" s="11">
        <v>1000</v>
      </c>
      <c r="O82" s="9">
        <v>0</v>
      </c>
      <c r="P82" s="9">
        <v>0</v>
      </c>
      <c r="Q82" s="9">
        <v>0</v>
      </c>
      <c r="R82" s="9">
        <v>100</v>
      </c>
      <c r="S82" s="9">
        <v>0</v>
      </c>
      <c r="T82" s="9">
        <v>11.1111111111111</v>
      </c>
      <c r="U82" t="s">
        <v>500</v>
      </c>
    </row>
    <row r="83" spans="1:21" x14ac:dyDescent="0.3">
      <c r="A83" s="1">
        <v>3798</v>
      </c>
      <c r="B83" s="1" t="s">
        <v>389</v>
      </c>
      <c r="C83" s="1" t="s">
        <v>390</v>
      </c>
      <c r="D83" s="1">
        <v>2023</v>
      </c>
      <c r="E83" s="1" t="s">
        <v>108</v>
      </c>
      <c r="F83" s="1" t="s">
        <v>109</v>
      </c>
      <c r="G83" s="11">
        <v>25</v>
      </c>
      <c r="H83" s="11">
        <v>5.4</v>
      </c>
      <c r="I83" s="11">
        <v>7.05</v>
      </c>
      <c r="J83" s="11">
        <v>105</v>
      </c>
      <c r="K83" s="11">
        <v>2.25</v>
      </c>
      <c r="L83" s="11">
        <v>1.1499999999999999</v>
      </c>
      <c r="M83" s="11">
        <v>460</v>
      </c>
      <c r="N83" s="11">
        <v>1155</v>
      </c>
      <c r="O83" s="9">
        <v>9.9999999999999893</v>
      </c>
      <c r="P83" s="9">
        <v>0</v>
      </c>
      <c r="Q83" s="9">
        <v>0</v>
      </c>
      <c r="R83" s="9">
        <v>100</v>
      </c>
      <c r="S83" s="9">
        <v>0</v>
      </c>
      <c r="T83" s="9">
        <v>14.4444444444444</v>
      </c>
      <c r="U83" t="s">
        <v>500</v>
      </c>
    </row>
    <row r="84" spans="1:21" x14ac:dyDescent="0.3">
      <c r="A84" s="1">
        <v>2215</v>
      </c>
      <c r="B84" s="1" t="s">
        <v>278</v>
      </c>
      <c r="C84" s="1" t="s">
        <v>262</v>
      </c>
      <c r="D84" s="1">
        <v>2023</v>
      </c>
      <c r="E84" s="1" t="s">
        <v>108</v>
      </c>
      <c r="F84" s="1" t="s">
        <v>109</v>
      </c>
      <c r="G84" s="11">
        <v>27</v>
      </c>
      <c r="H84" s="11">
        <v>7.3</v>
      </c>
      <c r="I84" s="11">
        <v>7.4</v>
      </c>
      <c r="J84" s="11">
        <v>106</v>
      </c>
      <c r="K84" s="11">
        <v>2.15</v>
      </c>
      <c r="L84" s="11">
        <v>1</v>
      </c>
      <c r="M84" s="11">
        <v>330</v>
      </c>
      <c r="N84" s="11">
        <v>860</v>
      </c>
      <c r="O84" s="9">
        <v>0</v>
      </c>
      <c r="P84" s="9">
        <v>0</v>
      </c>
      <c r="Q84" s="9">
        <v>0</v>
      </c>
      <c r="R84" s="9">
        <v>100</v>
      </c>
      <c r="S84" s="9">
        <v>0</v>
      </c>
      <c r="T84" s="9">
        <v>11.1111111111111</v>
      </c>
      <c r="U84" t="s">
        <v>500</v>
      </c>
    </row>
    <row r="85" spans="1:21" x14ac:dyDescent="0.3">
      <c r="A85" s="1">
        <v>3814</v>
      </c>
      <c r="B85" s="1" t="s">
        <v>279</v>
      </c>
      <c r="C85" s="1" t="s">
        <v>280</v>
      </c>
      <c r="D85" s="1">
        <v>2023</v>
      </c>
      <c r="E85" s="1" t="s">
        <v>108</v>
      </c>
      <c r="F85" s="1" t="s">
        <v>109</v>
      </c>
      <c r="G85" s="11">
        <v>24</v>
      </c>
      <c r="H85" s="11">
        <v>2.44999999999999</v>
      </c>
      <c r="I85" s="11">
        <v>7.25</v>
      </c>
      <c r="J85" s="11">
        <v>408</v>
      </c>
      <c r="K85" s="11">
        <v>14.899999999999901</v>
      </c>
      <c r="L85" s="11">
        <v>1.35</v>
      </c>
      <c r="M85" s="11">
        <v>2150</v>
      </c>
      <c r="N85" s="11">
        <v>3150</v>
      </c>
      <c r="O85" s="9">
        <v>59.1666666666666</v>
      </c>
      <c r="P85" s="9">
        <v>100</v>
      </c>
      <c r="Q85" s="9">
        <v>0</v>
      </c>
      <c r="R85" s="9">
        <v>100</v>
      </c>
      <c r="S85" s="9">
        <v>0</v>
      </c>
      <c r="T85" s="9">
        <v>53.0555555555555</v>
      </c>
      <c r="U85" t="s">
        <v>501</v>
      </c>
    </row>
    <row r="86" spans="1:21" x14ac:dyDescent="0.3">
      <c r="A86" s="1">
        <v>3804</v>
      </c>
      <c r="B86" s="1" t="s">
        <v>393</v>
      </c>
      <c r="C86" s="1" t="s">
        <v>394</v>
      </c>
      <c r="D86" s="1">
        <v>2023</v>
      </c>
      <c r="E86" s="1" t="s">
        <v>108</v>
      </c>
      <c r="F86" s="1" t="s">
        <v>109</v>
      </c>
      <c r="G86" s="11">
        <v>22</v>
      </c>
      <c r="H86" s="11">
        <v>5.7</v>
      </c>
      <c r="I86" s="11">
        <v>7.05</v>
      </c>
      <c r="J86" s="11">
        <v>124</v>
      </c>
      <c r="K86" s="11">
        <v>2.4</v>
      </c>
      <c r="L86" s="11">
        <v>0.95</v>
      </c>
      <c r="M86" s="11">
        <v>460</v>
      </c>
      <c r="N86" s="11">
        <v>1055</v>
      </c>
      <c r="O86" s="9">
        <v>4.9999999999999902</v>
      </c>
      <c r="P86" s="9">
        <v>0</v>
      </c>
      <c r="Q86" s="9">
        <v>0</v>
      </c>
      <c r="R86" s="9">
        <v>100</v>
      </c>
      <c r="S86" s="9">
        <v>0</v>
      </c>
      <c r="T86" s="9">
        <v>12.7777777777777</v>
      </c>
      <c r="U86" t="s">
        <v>500</v>
      </c>
    </row>
    <row r="87" spans="1:21" x14ac:dyDescent="0.3">
      <c r="A87" s="1">
        <v>3819</v>
      </c>
      <c r="B87" s="1" t="s">
        <v>282</v>
      </c>
      <c r="C87" s="1" t="s">
        <v>283</v>
      </c>
      <c r="D87" s="1">
        <v>2023</v>
      </c>
      <c r="E87" s="1" t="s">
        <v>108</v>
      </c>
      <c r="F87" s="1" t="s">
        <v>109</v>
      </c>
      <c r="G87" s="11">
        <v>24.5</v>
      </c>
      <c r="H87" s="11">
        <v>0.7</v>
      </c>
      <c r="I87" s="11">
        <v>7.25</v>
      </c>
      <c r="J87" s="11">
        <v>405</v>
      </c>
      <c r="K87" s="11">
        <v>20.2</v>
      </c>
      <c r="L87" s="11">
        <v>3.15</v>
      </c>
      <c r="M87" s="11">
        <v>3200</v>
      </c>
      <c r="N87" s="11">
        <v>4750</v>
      </c>
      <c r="O87" s="9">
        <v>88.3333333333333</v>
      </c>
      <c r="P87" s="9">
        <v>100</v>
      </c>
      <c r="Q87" s="9">
        <v>0</v>
      </c>
      <c r="R87" s="9">
        <v>100</v>
      </c>
      <c r="S87" s="9">
        <v>0</v>
      </c>
      <c r="T87" s="9">
        <v>62.7777777777777</v>
      </c>
      <c r="U87" t="s">
        <v>502</v>
      </c>
    </row>
    <row r="88" spans="1:21" x14ac:dyDescent="0.3">
      <c r="A88" s="1">
        <v>2225</v>
      </c>
      <c r="B88" s="1" t="s">
        <v>395</v>
      </c>
      <c r="C88" s="1" t="s">
        <v>396</v>
      </c>
      <c r="D88" s="1">
        <v>2023</v>
      </c>
      <c r="E88" s="1" t="s">
        <v>132</v>
      </c>
      <c r="F88" s="1" t="s">
        <v>109</v>
      </c>
      <c r="G88" s="11">
        <v>21</v>
      </c>
      <c r="H88" s="11">
        <v>4.8499999999999996</v>
      </c>
      <c r="I88" s="11">
        <v>7.05</v>
      </c>
      <c r="J88" s="11">
        <v>108</v>
      </c>
      <c r="K88" s="11">
        <v>2.4500000000000002</v>
      </c>
      <c r="L88" s="11">
        <v>0.9</v>
      </c>
      <c r="M88" s="11">
        <v>620</v>
      </c>
      <c r="N88" s="11">
        <v>1105</v>
      </c>
      <c r="O88" s="9">
        <v>19.1666666666666</v>
      </c>
      <c r="P88" s="9">
        <v>0</v>
      </c>
      <c r="Q88" s="9">
        <v>0</v>
      </c>
      <c r="R88" s="9">
        <v>100</v>
      </c>
      <c r="S88" s="9">
        <v>0</v>
      </c>
      <c r="T88" s="9">
        <v>17.5</v>
      </c>
      <c r="U88" t="s">
        <v>500</v>
      </c>
    </row>
    <row r="89" spans="1:21" x14ac:dyDescent="0.3">
      <c r="A89" s="1">
        <v>2214</v>
      </c>
      <c r="B89" s="1" t="s">
        <v>284</v>
      </c>
      <c r="C89" s="1" t="s">
        <v>397</v>
      </c>
      <c r="D89" s="1">
        <v>2023</v>
      </c>
      <c r="E89" s="1" t="s">
        <v>132</v>
      </c>
      <c r="F89" s="1" t="s">
        <v>109</v>
      </c>
      <c r="G89" s="11">
        <v>25</v>
      </c>
      <c r="H89" s="11">
        <v>6.3</v>
      </c>
      <c r="I89" s="11">
        <v>7.25</v>
      </c>
      <c r="J89" s="11">
        <v>96.5</v>
      </c>
      <c r="K89" s="11">
        <v>2.25</v>
      </c>
      <c r="L89" s="11">
        <v>1.35</v>
      </c>
      <c r="M89" s="11">
        <v>330</v>
      </c>
      <c r="N89" s="11">
        <v>965</v>
      </c>
      <c r="O89" s="9">
        <v>0</v>
      </c>
      <c r="P89" s="9">
        <v>0</v>
      </c>
      <c r="Q89" s="9">
        <v>0</v>
      </c>
      <c r="R89" s="9">
        <v>100</v>
      </c>
      <c r="S89" s="9">
        <v>0</v>
      </c>
      <c r="T89" s="9">
        <v>11.1111111111111</v>
      </c>
      <c r="U89" t="s">
        <v>500</v>
      </c>
    </row>
    <row r="90" spans="1:21" x14ac:dyDescent="0.3">
      <c r="A90" s="1">
        <v>2219</v>
      </c>
      <c r="B90" s="1" t="s">
        <v>285</v>
      </c>
      <c r="C90" s="1" t="s">
        <v>398</v>
      </c>
      <c r="D90" s="1">
        <v>2023</v>
      </c>
      <c r="E90" s="1" t="s">
        <v>132</v>
      </c>
      <c r="F90" s="1" t="s">
        <v>109</v>
      </c>
      <c r="G90" s="11">
        <v>28</v>
      </c>
      <c r="H90" s="11">
        <v>8.5</v>
      </c>
      <c r="I90" s="11">
        <v>7.3</v>
      </c>
      <c r="J90" s="11">
        <v>218</v>
      </c>
      <c r="K90" s="11">
        <v>2.2999999999999998</v>
      </c>
      <c r="L90" s="11">
        <v>1.1499999999999999</v>
      </c>
      <c r="M90" s="11">
        <v>515</v>
      </c>
      <c r="N90" s="11">
        <v>1360</v>
      </c>
      <c r="O90" s="9">
        <v>0</v>
      </c>
      <c r="P90" s="9">
        <v>0</v>
      </c>
      <c r="Q90" s="9">
        <v>0</v>
      </c>
      <c r="R90" s="9">
        <v>100</v>
      </c>
      <c r="S90" s="9">
        <v>0</v>
      </c>
      <c r="T90" s="9">
        <v>11.1111111111111</v>
      </c>
      <c r="U90" t="s">
        <v>500</v>
      </c>
    </row>
    <row r="91" spans="1:21" x14ac:dyDescent="0.3">
      <c r="A91" s="1">
        <v>2208</v>
      </c>
      <c r="B91" s="2" t="s">
        <v>286</v>
      </c>
      <c r="C91" s="1" t="s">
        <v>287</v>
      </c>
      <c r="D91" s="1">
        <v>2023</v>
      </c>
      <c r="E91" s="1" t="s">
        <v>132</v>
      </c>
      <c r="F91" s="1" t="s">
        <v>109</v>
      </c>
      <c r="G91" s="11">
        <v>27</v>
      </c>
      <c r="H91" s="11">
        <v>6.55</v>
      </c>
      <c r="I91" s="11">
        <v>7.15</v>
      </c>
      <c r="J91" s="11">
        <v>103</v>
      </c>
      <c r="K91" s="11">
        <v>2.3499999999999899</v>
      </c>
      <c r="L91" s="11">
        <v>0.95</v>
      </c>
      <c r="M91" s="11">
        <v>330</v>
      </c>
      <c r="N91" s="11">
        <v>805</v>
      </c>
      <c r="O91" s="9">
        <v>0</v>
      </c>
      <c r="P91" s="9">
        <v>0</v>
      </c>
      <c r="Q91" s="9">
        <v>0</v>
      </c>
      <c r="R91" s="9">
        <v>100</v>
      </c>
      <c r="S91" s="9">
        <v>0</v>
      </c>
      <c r="T91" s="9">
        <v>11.1111111111111</v>
      </c>
      <c r="U91" t="s">
        <v>500</v>
      </c>
    </row>
    <row r="92" spans="1:21" x14ac:dyDescent="0.3">
      <c r="A92" s="1">
        <v>3772</v>
      </c>
      <c r="B92" s="3" t="s">
        <v>136</v>
      </c>
      <c r="C92" s="1" t="s">
        <v>366</v>
      </c>
      <c r="D92" s="1">
        <v>2023</v>
      </c>
      <c r="E92" s="1" t="s">
        <v>132</v>
      </c>
      <c r="F92" s="1" t="s">
        <v>109</v>
      </c>
      <c r="G92" s="11">
        <v>28.5</v>
      </c>
      <c r="H92" s="11">
        <v>6.75</v>
      </c>
      <c r="I92" s="11">
        <v>7.3</v>
      </c>
      <c r="J92" s="11">
        <v>113</v>
      </c>
      <c r="K92" s="11">
        <v>2.4500000000000002</v>
      </c>
      <c r="L92" s="11">
        <v>0.8</v>
      </c>
      <c r="M92" s="11">
        <v>330</v>
      </c>
      <c r="N92" s="11">
        <v>900</v>
      </c>
      <c r="O92" s="9">
        <v>0</v>
      </c>
      <c r="P92" s="9">
        <v>0</v>
      </c>
      <c r="Q92" s="9">
        <v>0</v>
      </c>
      <c r="R92" s="9">
        <v>100</v>
      </c>
      <c r="S92" s="9">
        <v>0</v>
      </c>
      <c r="T92" s="9">
        <v>11.1111111111111</v>
      </c>
      <c r="U92" t="s">
        <v>500</v>
      </c>
    </row>
    <row r="93" spans="1:21" x14ac:dyDescent="0.3">
      <c r="A93" s="1">
        <v>2216</v>
      </c>
      <c r="B93" s="2" t="s">
        <v>288</v>
      </c>
      <c r="C93" s="1" t="s">
        <v>281</v>
      </c>
      <c r="D93" s="1">
        <v>2023</v>
      </c>
      <c r="E93" s="1" t="s">
        <v>132</v>
      </c>
      <c r="F93" s="1" t="s">
        <v>109</v>
      </c>
      <c r="G93" s="11">
        <v>28</v>
      </c>
      <c r="H93" s="11">
        <v>7.55</v>
      </c>
      <c r="I93" s="11">
        <v>8.0500000000000007</v>
      </c>
      <c r="J93" s="11">
        <v>180</v>
      </c>
      <c r="K93" s="11">
        <v>2.5499999999999998</v>
      </c>
      <c r="L93" s="11">
        <v>1.1000000000000001</v>
      </c>
      <c r="M93" s="11">
        <v>545</v>
      </c>
      <c r="N93" s="11">
        <v>1500</v>
      </c>
      <c r="O93" s="9">
        <v>0</v>
      </c>
      <c r="P93" s="9">
        <v>0</v>
      </c>
      <c r="Q93" s="9">
        <v>0</v>
      </c>
      <c r="R93" s="9">
        <v>100</v>
      </c>
      <c r="S93" s="9">
        <v>0</v>
      </c>
      <c r="T93" s="9">
        <v>11.1111111111111</v>
      </c>
      <c r="U93" t="s">
        <v>500</v>
      </c>
    </row>
    <row r="94" spans="1:21" x14ac:dyDescent="0.3">
      <c r="A94" s="1">
        <v>2221</v>
      </c>
      <c r="B94" s="3" t="s">
        <v>289</v>
      </c>
      <c r="C94" s="1" t="s">
        <v>290</v>
      </c>
      <c r="D94" s="1">
        <v>2023</v>
      </c>
      <c r="E94" s="1" t="s">
        <v>132</v>
      </c>
      <c r="F94" s="1" t="s">
        <v>109</v>
      </c>
      <c r="G94" s="11">
        <v>28.5</v>
      </c>
      <c r="H94" s="11">
        <v>7.75</v>
      </c>
      <c r="I94" s="11">
        <v>7.45</v>
      </c>
      <c r="J94" s="11">
        <v>116</v>
      </c>
      <c r="K94" s="11">
        <v>2.2999999999999998</v>
      </c>
      <c r="L94" s="11">
        <v>1.1000000000000001</v>
      </c>
      <c r="M94" s="11">
        <v>330</v>
      </c>
      <c r="N94" s="11">
        <v>1000</v>
      </c>
      <c r="O94" s="9">
        <v>0</v>
      </c>
      <c r="P94" s="9">
        <v>0</v>
      </c>
      <c r="Q94" s="9">
        <v>0</v>
      </c>
      <c r="R94" s="9">
        <v>100</v>
      </c>
      <c r="S94" s="9">
        <v>0</v>
      </c>
      <c r="T94" s="9">
        <v>11.1111111111111</v>
      </c>
      <c r="U94" t="s">
        <v>500</v>
      </c>
    </row>
    <row r="95" spans="1:21" x14ac:dyDescent="0.3">
      <c r="A95" s="1">
        <v>2209</v>
      </c>
      <c r="B95" s="2" t="s">
        <v>291</v>
      </c>
      <c r="C95" s="1" t="s">
        <v>292</v>
      </c>
      <c r="D95" s="1">
        <v>2023</v>
      </c>
      <c r="E95" s="1" t="s">
        <v>132</v>
      </c>
      <c r="F95" s="1" t="s">
        <v>109</v>
      </c>
      <c r="G95" s="11">
        <v>28.5</v>
      </c>
      <c r="H95" s="11">
        <v>6.25</v>
      </c>
      <c r="I95" s="11">
        <v>7.1</v>
      </c>
      <c r="J95" s="11">
        <v>112.5</v>
      </c>
      <c r="K95" s="11">
        <v>2.15</v>
      </c>
      <c r="L95" s="11">
        <v>1.1000000000000001</v>
      </c>
      <c r="M95" s="11">
        <v>635</v>
      </c>
      <c r="N95" s="11">
        <v>1115</v>
      </c>
      <c r="O95" s="9">
        <v>0</v>
      </c>
      <c r="P95" s="9">
        <v>0</v>
      </c>
      <c r="Q95" s="9">
        <v>0</v>
      </c>
      <c r="R95" s="9">
        <v>100</v>
      </c>
      <c r="S95" s="9">
        <v>0</v>
      </c>
      <c r="T95" s="9">
        <v>11.1111111111111</v>
      </c>
      <c r="U95" t="s">
        <v>500</v>
      </c>
    </row>
    <row r="96" spans="1:21" x14ac:dyDescent="0.3">
      <c r="A96" s="1">
        <v>2212</v>
      </c>
      <c r="B96" s="3" t="s">
        <v>293</v>
      </c>
      <c r="C96" s="1" t="s">
        <v>294</v>
      </c>
      <c r="D96" s="1">
        <v>2023</v>
      </c>
      <c r="E96" s="1" t="s">
        <v>132</v>
      </c>
      <c r="F96" s="1" t="s">
        <v>109</v>
      </c>
      <c r="G96" s="11">
        <v>25.5</v>
      </c>
      <c r="H96" s="11">
        <v>7.05</v>
      </c>
      <c r="I96" s="11">
        <v>7.1999999999999904</v>
      </c>
      <c r="J96" s="11">
        <v>165</v>
      </c>
      <c r="K96" s="11">
        <v>2.35</v>
      </c>
      <c r="L96" s="11">
        <v>1.1499999999999999</v>
      </c>
      <c r="M96" s="11">
        <v>460</v>
      </c>
      <c r="N96" s="11">
        <v>1055</v>
      </c>
      <c r="O96" s="9">
        <v>0</v>
      </c>
      <c r="P96" s="9">
        <v>0</v>
      </c>
      <c r="Q96" s="9">
        <v>0</v>
      </c>
      <c r="R96" s="9">
        <v>100</v>
      </c>
      <c r="S96" s="9">
        <v>0</v>
      </c>
      <c r="T96" s="9">
        <v>11.1111111111111</v>
      </c>
      <c r="U96" t="s">
        <v>500</v>
      </c>
    </row>
    <row r="97" spans="1:21" x14ac:dyDescent="0.3">
      <c r="A97" s="1">
        <v>2227</v>
      </c>
      <c r="B97" s="2" t="s">
        <v>295</v>
      </c>
      <c r="C97" s="1" t="s">
        <v>296</v>
      </c>
      <c r="D97" s="1">
        <v>2023</v>
      </c>
      <c r="E97" s="1" t="s">
        <v>132</v>
      </c>
      <c r="F97" s="1" t="s">
        <v>109</v>
      </c>
      <c r="G97" s="11">
        <v>28</v>
      </c>
      <c r="H97" s="11">
        <v>6.9</v>
      </c>
      <c r="I97" s="11">
        <v>7.1</v>
      </c>
      <c r="J97" s="11">
        <v>100</v>
      </c>
      <c r="K97" s="11">
        <v>2.4</v>
      </c>
      <c r="L97" s="11">
        <v>0.85</v>
      </c>
      <c r="M97" s="11">
        <v>515</v>
      </c>
      <c r="N97" s="11">
        <v>1050</v>
      </c>
      <c r="O97" s="9">
        <v>0</v>
      </c>
      <c r="P97" s="9">
        <v>0</v>
      </c>
      <c r="Q97" s="9">
        <v>0</v>
      </c>
      <c r="R97" s="9">
        <v>100</v>
      </c>
      <c r="S97" s="9">
        <v>0</v>
      </c>
      <c r="T97" s="9">
        <v>11.1111111111111</v>
      </c>
      <c r="U97" t="s">
        <v>500</v>
      </c>
    </row>
    <row r="98" spans="1:21" x14ac:dyDescent="0.3">
      <c r="A98" s="1">
        <v>2213</v>
      </c>
      <c r="B98" s="3" t="s">
        <v>297</v>
      </c>
      <c r="C98" s="1" t="s">
        <v>298</v>
      </c>
      <c r="D98" s="1">
        <v>2023</v>
      </c>
      <c r="E98" s="1" t="s">
        <v>132</v>
      </c>
      <c r="F98" s="1" t="s">
        <v>109</v>
      </c>
      <c r="G98" s="11">
        <v>27</v>
      </c>
      <c r="H98" s="11">
        <v>7.15</v>
      </c>
      <c r="I98" s="11">
        <v>7.15</v>
      </c>
      <c r="J98" s="11">
        <v>157</v>
      </c>
      <c r="K98" s="11">
        <v>2.25</v>
      </c>
      <c r="L98" s="11">
        <v>1.3</v>
      </c>
      <c r="M98" s="11">
        <v>610</v>
      </c>
      <c r="N98" s="11">
        <v>1165</v>
      </c>
      <c r="O98" s="9">
        <v>0</v>
      </c>
      <c r="P98" s="9">
        <v>0</v>
      </c>
      <c r="Q98" s="9">
        <v>0</v>
      </c>
      <c r="R98" s="9">
        <v>100</v>
      </c>
      <c r="S98" s="9">
        <v>0</v>
      </c>
      <c r="T98" s="9">
        <v>11.1111111111111</v>
      </c>
      <c r="U98" t="s">
        <v>500</v>
      </c>
    </row>
    <row r="99" spans="1:21" x14ac:dyDescent="0.3">
      <c r="A99" s="1">
        <v>1532</v>
      </c>
      <c r="B99" s="2" t="s">
        <v>299</v>
      </c>
      <c r="C99" s="1" t="s">
        <v>300</v>
      </c>
      <c r="D99" s="1">
        <v>2023</v>
      </c>
      <c r="E99" s="1" t="s">
        <v>132</v>
      </c>
      <c r="F99" s="1" t="s">
        <v>109</v>
      </c>
      <c r="G99" s="11">
        <v>26</v>
      </c>
      <c r="H99" s="11">
        <v>6.35</v>
      </c>
      <c r="I99" s="11">
        <v>7.25</v>
      </c>
      <c r="J99" s="11">
        <v>112</v>
      </c>
      <c r="K99" s="11">
        <v>2.2000000000000002</v>
      </c>
      <c r="L99" s="11">
        <v>0.8</v>
      </c>
      <c r="M99" s="11">
        <v>330</v>
      </c>
      <c r="N99" s="11">
        <v>755</v>
      </c>
      <c r="O99" s="9">
        <v>0</v>
      </c>
      <c r="P99" s="9">
        <v>0</v>
      </c>
      <c r="Q99" s="9">
        <v>0</v>
      </c>
      <c r="R99" s="9">
        <v>100</v>
      </c>
      <c r="S99" s="9">
        <v>0</v>
      </c>
      <c r="T99" s="9">
        <v>11.1111111111111</v>
      </c>
      <c r="U99" t="s">
        <v>500</v>
      </c>
    </row>
    <row r="100" spans="1:21" x14ac:dyDescent="0.3">
      <c r="A100" s="1">
        <v>3809</v>
      </c>
      <c r="B100" s="3" t="s">
        <v>144</v>
      </c>
      <c r="C100" s="1" t="s">
        <v>366</v>
      </c>
      <c r="D100" s="1">
        <v>2023</v>
      </c>
      <c r="E100" s="1" t="s">
        <v>132</v>
      </c>
      <c r="F100" s="1" t="s">
        <v>109</v>
      </c>
      <c r="G100" s="11">
        <v>25.5</v>
      </c>
      <c r="H100" s="11">
        <v>6.35</v>
      </c>
      <c r="I100" s="11">
        <v>7.35</v>
      </c>
      <c r="J100" s="11">
        <v>343</v>
      </c>
      <c r="K100" s="11">
        <v>2.4500000000000002</v>
      </c>
      <c r="L100" s="11">
        <v>2.85</v>
      </c>
      <c r="M100" s="11">
        <v>620</v>
      </c>
      <c r="N100" s="11">
        <v>1700</v>
      </c>
      <c r="O100" s="9">
        <v>0</v>
      </c>
      <c r="P100" s="9">
        <v>0</v>
      </c>
      <c r="Q100" s="9">
        <v>0</v>
      </c>
      <c r="R100" s="9">
        <v>100</v>
      </c>
      <c r="S100" s="9">
        <v>0</v>
      </c>
      <c r="T100" s="9">
        <v>11.1111111111111</v>
      </c>
      <c r="U100" t="s">
        <v>500</v>
      </c>
    </row>
    <row r="101" spans="1:21" x14ac:dyDescent="0.3">
      <c r="A101" s="1">
        <v>2223</v>
      </c>
      <c r="B101" s="2" t="s">
        <v>301</v>
      </c>
      <c r="C101" s="1" t="s">
        <v>262</v>
      </c>
      <c r="D101" s="1">
        <v>2023</v>
      </c>
      <c r="E101" s="1" t="s">
        <v>132</v>
      </c>
      <c r="F101" s="1" t="s">
        <v>109</v>
      </c>
      <c r="G101" s="11">
        <v>28.5</v>
      </c>
      <c r="H101" s="11">
        <v>5.2</v>
      </c>
      <c r="I101" s="11">
        <v>7.25</v>
      </c>
      <c r="J101" s="11">
        <v>110</v>
      </c>
      <c r="K101" s="11">
        <v>2.15</v>
      </c>
      <c r="L101" s="11">
        <v>1.2</v>
      </c>
      <c r="M101" s="11">
        <v>460</v>
      </c>
      <c r="N101" s="11">
        <v>1160</v>
      </c>
      <c r="O101" s="9">
        <v>13.3333333333333</v>
      </c>
      <c r="P101" s="9">
        <v>0</v>
      </c>
      <c r="Q101" s="9">
        <v>0</v>
      </c>
      <c r="R101" s="9">
        <v>100</v>
      </c>
      <c r="S101" s="9">
        <v>0</v>
      </c>
      <c r="T101" s="9">
        <v>15.5555555555555</v>
      </c>
      <c r="U101" t="s">
        <v>500</v>
      </c>
    </row>
    <row r="102" spans="1:21" x14ac:dyDescent="0.3">
      <c r="A102" s="1">
        <v>4006</v>
      </c>
      <c r="B102" s="3" t="s">
        <v>146</v>
      </c>
      <c r="C102" s="1" t="s">
        <v>366</v>
      </c>
      <c r="D102" s="1">
        <v>2023</v>
      </c>
      <c r="E102" s="1" t="s">
        <v>132</v>
      </c>
      <c r="F102" s="1" t="s">
        <v>109</v>
      </c>
      <c r="G102" s="11">
        <v>28.5</v>
      </c>
      <c r="H102" s="11">
        <v>6.6</v>
      </c>
      <c r="I102" s="11">
        <v>7.05</v>
      </c>
      <c r="J102" s="11">
        <v>105</v>
      </c>
      <c r="K102" s="11">
        <v>2.35</v>
      </c>
      <c r="L102" s="11">
        <v>0.85</v>
      </c>
      <c r="M102" s="11">
        <v>330</v>
      </c>
      <c r="N102" s="11">
        <v>725</v>
      </c>
      <c r="O102" s="9">
        <v>0</v>
      </c>
      <c r="P102" s="9">
        <v>0</v>
      </c>
      <c r="Q102" s="9">
        <v>0</v>
      </c>
      <c r="R102" s="9">
        <v>100</v>
      </c>
      <c r="S102" s="9">
        <v>0</v>
      </c>
      <c r="T102" s="9">
        <v>11.1111111111111</v>
      </c>
      <c r="U102" t="s">
        <v>500</v>
      </c>
    </row>
    <row r="103" spans="1:21" x14ac:dyDescent="0.3">
      <c r="A103" s="1">
        <v>2211</v>
      </c>
      <c r="B103" s="2" t="s">
        <v>302</v>
      </c>
      <c r="C103" s="1" t="s">
        <v>303</v>
      </c>
      <c r="D103" s="1">
        <v>2023</v>
      </c>
      <c r="E103" s="1" t="s">
        <v>132</v>
      </c>
      <c r="F103" s="1" t="s">
        <v>109</v>
      </c>
      <c r="G103" s="11">
        <v>27</v>
      </c>
      <c r="H103" s="11">
        <v>7</v>
      </c>
      <c r="I103" s="11">
        <v>7.25</v>
      </c>
      <c r="J103" s="11">
        <v>213</v>
      </c>
      <c r="K103" s="11">
        <v>2.4500000000000002</v>
      </c>
      <c r="L103" s="11">
        <v>1.1000000000000001</v>
      </c>
      <c r="M103" s="11">
        <v>515</v>
      </c>
      <c r="N103" s="11">
        <v>1050</v>
      </c>
      <c r="O103" s="9">
        <v>0</v>
      </c>
      <c r="P103" s="9">
        <v>0</v>
      </c>
      <c r="Q103" s="9">
        <v>0</v>
      </c>
      <c r="R103" s="9">
        <v>100</v>
      </c>
      <c r="S103" s="9">
        <v>0</v>
      </c>
      <c r="T103" s="9">
        <v>11.1111111111111</v>
      </c>
      <c r="U103" t="s">
        <v>500</v>
      </c>
    </row>
    <row r="104" spans="1:21" x14ac:dyDescent="0.3">
      <c r="A104" s="1">
        <v>2222</v>
      </c>
      <c r="B104" s="3" t="s">
        <v>304</v>
      </c>
      <c r="C104" s="1" t="s">
        <v>262</v>
      </c>
      <c r="D104" s="1">
        <v>2023</v>
      </c>
      <c r="E104" s="1" t="s">
        <v>132</v>
      </c>
      <c r="F104" s="1" t="s">
        <v>109</v>
      </c>
      <c r="G104" s="11">
        <v>30.5</v>
      </c>
      <c r="H104" s="11">
        <v>5.25</v>
      </c>
      <c r="I104" s="11">
        <v>7.2</v>
      </c>
      <c r="J104" s="11">
        <v>144</v>
      </c>
      <c r="K104" s="11">
        <v>2.25</v>
      </c>
      <c r="L104" s="11">
        <v>1.35</v>
      </c>
      <c r="M104" s="11">
        <v>460</v>
      </c>
      <c r="N104" s="11">
        <v>1105</v>
      </c>
      <c r="O104" s="9">
        <v>12.5</v>
      </c>
      <c r="P104" s="9">
        <v>0</v>
      </c>
      <c r="Q104" s="9">
        <v>0</v>
      </c>
      <c r="R104" s="9">
        <v>100</v>
      </c>
      <c r="S104" s="9">
        <v>0</v>
      </c>
      <c r="T104" s="9">
        <v>15.2777777777777</v>
      </c>
      <c r="U104" t="s">
        <v>500</v>
      </c>
    </row>
    <row r="105" spans="1:21" x14ac:dyDescent="0.3">
      <c r="A105" s="1">
        <v>2224</v>
      </c>
      <c r="B105" s="2" t="s">
        <v>305</v>
      </c>
      <c r="C105" s="1" t="s">
        <v>262</v>
      </c>
      <c r="D105" s="1">
        <v>2023</v>
      </c>
      <c r="E105" s="1" t="s">
        <v>132</v>
      </c>
      <c r="F105" s="1" t="s">
        <v>109</v>
      </c>
      <c r="G105" s="11">
        <v>28.5</v>
      </c>
      <c r="H105" s="11">
        <v>5.25</v>
      </c>
      <c r="I105" s="11">
        <v>7.15</v>
      </c>
      <c r="J105" s="11">
        <v>130</v>
      </c>
      <c r="K105" s="11">
        <v>2.2999999999999998</v>
      </c>
      <c r="L105" s="11">
        <v>1.25</v>
      </c>
      <c r="M105" s="11">
        <v>460</v>
      </c>
      <c r="N105" s="11">
        <v>1065</v>
      </c>
      <c r="O105" s="9">
        <v>12.5</v>
      </c>
      <c r="P105" s="9">
        <v>0</v>
      </c>
      <c r="Q105" s="9">
        <v>0</v>
      </c>
      <c r="R105" s="9">
        <v>100</v>
      </c>
      <c r="S105" s="9">
        <v>0</v>
      </c>
      <c r="T105" s="9">
        <v>15.2777777777777</v>
      </c>
      <c r="U105" t="s">
        <v>500</v>
      </c>
    </row>
    <row r="106" spans="1:21" x14ac:dyDescent="0.3">
      <c r="A106" s="1">
        <v>2210</v>
      </c>
      <c r="B106" s="3" t="s">
        <v>306</v>
      </c>
      <c r="C106" s="1" t="s">
        <v>307</v>
      </c>
      <c r="D106" s="1">
        <v>2023</v>
      </c>
      <c r="E106" s="1" t="s">
        <v>132</v>
      </c>
      <c r="F106" s="1" t="s">
        <v>109</v>
      </c>
      <c r="G106" s="11">
        <v>29.5</v>
      </c>
      <c r="H106" s="11">
        <v>6.6</v>
      </c>
      <c r="I106" s="11">
        <v>7.4</v>
      </c>
      <c r="J106" s="11">
        <v>110</v>
      </c>
      <c r="K106" s="11">
        <v>2.35</v>
      </c>
      <c r="L106" s="11">
        <v>1</v>
      </c>
      <c r="M106" s="11">
        <v>515</v>
      </c>
      <c r="N106" s="11">
        <v>910</v>
      </c>
      <c r="O106" s="9">
        <v>0</v>
      </c>
      <c r="P106" s="9">
        <v>0</v>
      </c>
      <c r="Q106" s="9">
        <v>0</v>
      </c>
      <c r="R106" s="9">
        <v>100</v>
      </c>
      <c r="S106" s="9">
        <v>0</v>
      </c>
      <c r="T106" s="9">
        <v>11.1111111111111</v>
      </c>
      <c r="U106" t="s">
        <v>500</v>
      </c>
    </row>
    <row r="107" spans="1:21" x14ac:dyDescent="0.3">
      <c r="A107" s="1">
        <v>3806</v>
      </c>
      <c r="B107" s="2" t="s">
        <v>151</v>
      </c>
      <c r="C107" s="1" t="s">
        <v>366</v>
      </c>
      <c r="D107" s="1">
        <v>2023</v>
      </c>
      <c r="E107" s="1" t="s">
        <v>132</v>
      </c>
      <c r="F107" s="1" t="s">
        <v>109</v>
      </c>
      <c r="G107" s="11">
        <v>23</v>
      </c>
      <c r="H107" s="11">
        <v>5.65</v>
      </c>
      <c r="I107" s="11">
        <v>6.85</v>
      </c>
      <c r="J107" s="11">
        <v>138</v>
      </c>
      <c r="K107" s="11">
        <v>2.5999999999999899</v>
      </c>
      <c r="L107" s="11">
        <v>0.9</v>
      </c>
      <c r="M107" s="11">
        <v>460</v>
      </c>
      <c r="N107" s="11">
        <v>1155</v>
      </c>
      <c r="O107" s="9">
        <v>5.8333333333333197</v>
      </c>
      <c r="P107" s="9">
        <v>0</v>
      </c>
      <c r="Q107" s="9">
        <v>0</v>
      </c>
      <c r="R107" s="9">
        <v>100</v>
      </c>
      <c r="S107" s="9">
        <v>0</v>
      </c>
      <c r="T107" s="9">
        <v>13.0555555555555</v>
      </c>
      <c r="U107" t="s">
        <v>500</v>
      </c>
    </row>
    <row r="108" spans="1:21" x14ac:dyDescent="0.3">
      <c r="A108" s="1">
        <v>2226</v>
      </c>
      <c r="B108" s="3" t="s">
        <v>308</v>
      </c>
      <c r="C108" s="1" t="s">
        <v>262</v>
      </c>
      <c r="D108" s="1">
        <v>2023</v>
      </c>
      <c r="E108" s="1" t="s">
        <v>132</v>
      </c>
      <c r="F108" s="1" t="s">
        <v>109</v>
      </c>
      <c r="G108" s="11">
        <v>27.5</v>
      </c>
      <c r="H108" s="11">
        <v>6.55</v>
      </c>
      <c r="I108" s="11">
        <v>7.1999999999999904</v>
      </c>
      <c r="J108" s="11">
        <v>95</v>
      </c>
      <c r="K108" s="11">
        <v>2.4</v>
      </c>
      <c r="L108" s="11">
        <v>0.95</v>
      </c>
      <c r="M108" s="11">
        <v>330</v>
      </c>
      <c r="N108" s="11">
        <v>915</v>
      </c>
      <c r="O108" s="9">
        <v>0</v>
      </c>
      <c r="P108" s="9">
        <v>0</v>
      </c>
      <c r="Q108" s="9">
        <v>0</v>
      </c>
      <c r="R108" s="9">
        <v>100</v>
      </c>
      <c r="S108" s="9">
        <v>0</v>
      </c>
      <c r="T108" s="9">
        <v>11.1111111111111</v>
      </c>
      <c r="U108" t="s">
        <v>500</v>
      </c>
    </row>
    <row r="109" spans="1:21" x14ac:dyDescent="0.3">
      <c r="A109" s="1">
        <v>2217</v>
      </c>
      <c r="B109" s="2" t="s">
        <v>309</v>
      </c>
      <c r="C109" s="1" t="s">
        <v>281</v>
      </c>
      <c r="D109" s="1">
        <v>2023</v>
      </c>
      <c r="E109" s="1" t="s">
        <v>132</v>
      </c>
      <c r="F109" s="1" t="s">
        <v>109</v>
      </c>
      <c r="G109" s="11">
        <v>26</v>
      </c>
      <c r="H109" s="11">
        <v>6.75</v>
      </c>
      <c r="I109" s="11">
        <v>7.1999999999999904</v>
      </c>
      <c r="J109" s="11">
        <v>259</v>
      </c>
      <c r="K109" s="11">
        <v>2.5</v>
      </c>
      <c r="L109" s="11">
        <v>1.2</v>
      </c>
      <c r="M109" s="11">
        <v>605</v>
      </c>
      <c r="N109" s="11">
        <v>1550</v>
      </c>
      <c r="O109" s="9">
        <v>0</v>
      </c>
      <c r="P109" s="9">
        <v>0</v>
      </c>
      <c r="Q109" s="9">
        <v>0</v>
      </c>
      <c r="R109" s="9">
        <v>100</v>
      </c>
      <c r="S109" s="9">
        <v>0</v>
      </c>
      <c r="T109" s="9">
        <v>11.1111111111111</v>
      </c>
      <c r="U109" t="s">
        <v>500</v>
      </c>
    </row>
    <row r="110" spans="1:21" x14ac:dyDescent="0.3">
      <c r="A110" s="1">
        <v>3775</v>
      </c>
      <c r="B110" s="3" t="s">
        <v>154</v>
      </c>
      <c r="C110" s="1" t="s">
        <v>366</v>
      </c>
      <c r="D110" s="1">
        <v>2023</v>
      </c>
      <c r="E110" s="1" t="s">
        <v>132</v>
      </c>
      <c r="F110" s="1" t="s">
        <v>109</v>
      </c>
      <c r="G110" s="11">
        <v>28</v>
      </c>
      <c r="H110" s="11">
        <v>6.65</v>
      </c>
      <c r="I110" s="11">
        <v>7.15</v>
      </c>
      <c r="J110" s="11">
        <v>104</v>
      </c>
      <c r="K110" s="11">
        <v>2.2000000000000002</v>
      </c>
      <c r="L110" s="11">
        <v>0.85</v>
      </c>
      <c r="M110" s="11">
        <v>515</v>
      </c>
      <c r="N110" s="11">
        <v>1115</v>
      </c>
      <c r="O110" s="9">
        <v>0</v>
      </c>
      <c r="P110" s="9">
        <v>0</v>
      </c>
      <c r="Q110" s="9">
        <v>0</v>
      </c>
      <c r="R110" s="9">
        <v>100</v>
      </c>
      <c r="S110" s="9">
        <v>0</v>
      </c>
      <c r="T110" s="9">
        <v>11.1111111111111</v>
      </c>
      <c r="U110" t="s">
        <v>500</v>
      </c>
    </row>
    <row r="111" spans="1:21" x14ac:dyDescent="0.3">
      <c r="A111" s="1">
        <v>4334</v>
      </c>
      <c r="B111" s="2" t="s">
        <v>310</v>
      </c>
      <c r="C111" s="1" t="s">
        <v>311</v>
      </c>
      <c r="D111" s="1">
        <v>2023</v>
      </c>
      <c r="E111" s="1" t="s">
        <v>132</v>
      </c>
      <c r="F111" s="1" t="s">
        <v>109</v>
      </c>
      <c r="G111" s="11">
        <v>29</v>
      </c>
      <c r="H111" s="11">
        <v>6.4</v>
      </c>
      <c r="I111" s="11">
        <v>7</v>
      </c>
      <c r="J111" s="11">
        <v>94</v>
      </c>
      <c r="K111" s="11">
        <v>2.2999999999999998</v>
      </c>
      <c r="L111" s="11">
        <v>0.95</v>
      </c>
      <c r="M111" s="11">
        <v>330</v>
      </c>
      <c r="N111" s="11">
        <v>765</v>
      </c>
      <c r="O111" s="9">
        <v>0</v>
      </c>
      <c r="P111" s="9">
        <v>0</v>
      </c>
      <c r="Q111" s="9">
        <v>0</v>
      </c>
      <c r="R111" s="9">
        <v>100</v>
      </c>
      <c r="S111" s="9">
        <v>0</v>
      </c>
      <c r="T111" s="9">
        <v>11.1111111111111</v>
      </c>
      <c r="U111" t="s">
        <v>502</v>
      </c>
    </row>
    <row r="112" spans="1:21" x14ac:dyDescent="0.3">
      <c r="A112" s="1">
        <v>4349</v>
      </c>
      <c r="B112" s="3" t="s">
        <v>374</v>
      </c>
      <c r="C112" s="1" t="s">
        <v>375</v>
      </c>
      <c r="D112" s="1">
        <v>2021</v>
      </c>
      <c r="E112" s="1" t="s">
        <v>69</v>
      </c>
      <c r="F112" s="1" t="s">
        <v>70</v>
      </c>
      <c r="G112" s="11">
        <v>27.5</v>
      </c>
      <c r="H112" s="11">
        <v>6.5</v>
      </c>
      <c r="I112" s="11">
        <v>7.65</v>
      </c>
      <c r="J112" s="11">
        <v>39700</v>
      </c>
      <c r="K112" s="11">
        <v>2</v>
      </c>
      <c r="L112" s="11">
        <v>1.05</v>
      </c>
      <c r="M112" s="11">
        <v>5.5</v>
      </c>
      <c r="N112" s="11">
        <v>79.5</v>
      </c>
      <c r="O112" s="9">
        <v>0</v>
      </c>
      <c r="P112" s="9">
        <v>0</v>
      </c>
      <c r="Q112" s="9">
        <v>0</v>
      </c>
      <c r="R112" s="9">
        <v>6.55555555555555</v>
      </c>
      <c r="S112" s="9">
        <v>100</v>
      </c>
      <c r="T112" s="9">
        <v>11.839506172839499</v>
      </c>
      <c r="U112" t="s">
        <v>502</v>
      </c>
    </row>
    <row r="113" spans="1:21" x14ac:dyDescent="0.3">
      <c r="A113" s="1">
        <v>4352</v>
      </c>
      <c r="B113" s="2" t="s">
        <v>376</v>
      </c>
      <c r="C113" s="1" t="s">
        <v>370</v>
      </c>
      <c r="D113" s="1">
        <v>2021</v>
      </c>
      <c r="E113" s="1" t="s">
        <v>69</v>
      </c>
      <c r="F113" s="1" t="s">
        <v>70</v>
      </c>
      <c r="G113" s="11">
        <v>28.5</v>
      </c>
      <c r="H113" s="11">
        <v>6.9</v>
      </c>
      <c r="I113" s="11">
        <v>7.75</v>
      </c>
      <c r="J113" s="11">
        <v>44100</v>
      </c>
      <c r="K113" s="11">
        <v>2.0499999999999998</v>
      </c>
      <c r="L113" s="11">
        <v>1.05</v>
      </c>
      <c r="M113" s="11">
        <v>5.5</v>
      </c>
      <c r="N113" s="11">
        <v>79.5</v>
      </c>
      <c r="O113" s="9">
        <v>0</v>
      </c>
      <c r="P113" s="9">
        <v>0</v>
      </c>
      <c r="Q113" s="9">
        <v>0</v>
      </c>
      <c r="R113" s="9">
        <v>6.55555555555555</v>
      </c>
      <c r="S113" s="9">
        <v>100</v>
      </c>
      <c r="T113" s="9">
        <v>11.839506172839499</v>
      </c>
      <c r="U113" t="s">
        <v>502</v>
      </c>
    </row>
    <row r="114" spans="1:21" x14ac:dyDescent="0.3">
      <c r="A114" s="1">
        <v>4357</v>
      </c>
      <c r="B114" s="1" t="s">
        <v>73</v>
      </c>
      <c r="C114" s="1"/>
      <c r="D114" s="1">
        <v>2021</v>
      </c>
      <c r="E114" s="1" t="s">
        <v>75</v>
      </c>
      <c r="F114" s="1" t="s">
        <v>70</v>
      </c>
      <c r="G114" s="11">
        <v>27.5</v>
      </c>
      <c r="H114" s="11">
        <v>6.6</v>
      </c>
      <c r="I114" s="11">
        <v>7.8</v>
      </c>
      <c r="J114" s="11">
        <v>45150</v>
      </c>
      <c r="K114" s="11">
        <v>1.85</v>
      </c>
      <c r="L114" s="11">
        <v>0.8</v>
      </c>
      <c r="M114" s="11">
        <v>6.5</v>
      </c>
      <c r="N114" s="11">
        <v>92</v>
      </c>
      <c r="O114" s="9">
        <v>0</v>
      </c>
      <c r="P114" s="9">
        <v>0</v>
      </c>
      <c r="Q114" s="9">
        <v>0</v>
      </c>
      <c r="R114" s="9">
        <v>9.3333333333333304</v>
      </c>
      <c r="S114" s="9">
        <v>100</v>
      </c>
      <c r="T114" s="9">
        <v>12.148148148148101</v>
      </c>
      <c r="U114" t="s">
        <v>502</v>
      </c>
    </row>
    <row r="115" spans="1:21" x14ac:dyDescent="0.3">
      <c r="A115" s="1">
        <v>4361</v>
      </c>
      <c r="B115" s="1" t="s">
        <v>76</v>
      </c>
      <c r="C115" s="1" t="s">
        <v>77</v>
      </c>
      <c r="D115" s="1">
        <v>2021</v>
      </c>
      <c r="E115" s="1" t="s">
        <v>75</v>
      </c>
      <c r="F115" s="1" t="s">
        <v>70</v>
      </c>
      <c r="G115" s="11">
        <v>26.5</v>
      </c>
      <c r="H115" s="11">
        <v>5.0999999999999996</v>
      </c>
      <c r="I115" s="11">
        <v>7.45</v>
      </c>
      <c r="J115" s="11">
        <v>41850</v>
      </c>
      <c r="K115" s="11">
        <v>2.8</v>
      </c>
      <c r="L115" s="11">
        <v>1.65</v>
      </c>
      <c r="M115" s="11">
        <v>5</v>
      </c>
      <c r="N115" s="11">
        <v>71</v>
      </c>
      <c r="O115" s="9">
        <v>15</v>
      </c>
      <c r="P115" s="9">
        <v>0</v>
      </c>
      <c r="Q115" s="9">
        <v>0</v>
      </c>
      <c r="R115" s="9">
        <v>4.6666666666666599</v>
      </c>
      <c r="S115" s="9">
        <v>100</v>
      </c>
      <c r="T115" s="9">
        <v>16.629629629629601</v>
      </c>
      <c r="U115" t="s">
        <v>502</v>
      </c>
    </row>
    <row r="116" spans="1:21" x14ac:dyDescent="0.3">
      <c r="A116" s="1">
        <v>4362</v>
      </c>
      <c r="B116" s="1" t="s">
        <v>471</v>
      </c>
      <c r="C116" s="1" t="s">
        <v>470</v>
      </c>
      <c r="D116" s="1">
        <v>2021</v>
      </c>
      <c r="E116" s="1" t="s">
        <v>79</v>
      </c>
      <c r="F116" s="1" t="s">
        <v>70</v>
      </c>
      <c r="G116" s="11">
        <v>26</v>
      </c>
      <c r="H116" s="11">
        <v>5.5</v>
      </c>
      <c r="I116" s="11">
        <v>7.5</v>
      </c>
      <c r="J116" s="11">
        <v>25960</v>
      </c>
      <c r="K116" s="11">
        <v>2.4500000000000002</v>
      </c>
      <c r="L116" s="11">
        <v>2</v>
      </c>
      <c r="M116" s="11">
        <v>9.5</v>
      </c>
      <c r="N116" s="11">
        <v>92</v>
      </c>
      <c r="O116" s="9">
        <v>8.3333333333333304</v>
      </c>
      <c r="P116" s="9">
        <v>0</v>
      </c>
      <c r="Q116" s="9">
        <v>0</v>
      </c>
      <c r="R116" s="9">
        <v>9.3333333333333304</v>
      </c>
      <c r="S116" s="9">
        <v>100</v>
      </c>
      <c r="T116" s="9">
        <v>14.925925925925901</v>
      </c>
      <c r="U116" t="s">
        <v>502</v>
      </c>
    </row>
    <row r="117" spans="1:21" x14ac:dyDescent="0.3">
      <c r="A117" s="1">
        <v>4363</v>
      </c>
      <c r="B117" s="1" t="s">
        <v>472</v>
      </c>
      <c r="C117" s="1" t="s">
        <v>77</v>
      </c>
      <c r="D117" s="1">
        <v>2021</v>
      </c>
      <c r="E117" s="1" t="s">
        <v>79</v>
      </c>
      <c r="F117" s="1" t="s">
        <v>70</v>
      </c>
      <c r="G117" s="11">
        <v>26.5</v>
      </c>
      <c r="H117" s="11">
        <v>4.3</v>
      </c>
      <c r="I117" s="11">
        <v>7.5</v>
      </c>
      <c r="J117" s="11">
        <v>23960</v>
      </c>
      <c r="K117" s="11">
        <v>4</v>
      </c>
      <c r="L117" s="11">
        <v>1.9</v>
      </c>
      <c r="M117" s="11">
        <v>6.5</v>
      </c>
      <c r="N117" s="11">
        <v>97.5</v>
      </c>
      <c r="O117" s="9">
        <v>28.3333333333333</v>
      </c>
      <c r="P117" s="9">
        <v>33.3333333333333</v>
      </c>
      <c r="Q117" s="9">
        <v>0</v>
      </c>
      <c r="R117" s="9">
        <v>10.5555555555555</v>
      </c>
      <c r="S117" s="9">
        <v>100</v>
      </c>
      <c r="T117" s="9">
        <v>29.1358024691358</v>
      </c>
      <c r="U117" t="s">
        <v>502</v>
      </c>
    </row>
    <row r="118" spans="1:21" x14ac:dyDescent="0.3">
      <c r="A118" s="1">
        <v>4371</v>
      </c>
      <c r="B118" s="3" t="s">
        <v>377</v>
      </c>
      <c r="C118" s="1" t="s">
        <v>313</v>
      </c>
      <c r="D118" s="1">
        <v>2021</v>
      </c>
      <c r="E118" s="1" t="s">
        <v>69</v>
      </c>
      <c r="F118" s="1" t="s">
        <v>70</v>
      </c>
      <c r="G118" s="11">
        <v>27</v>
      </c>
      <c r="H118" s="11">
        <v>6.15</v>
      </c>
      <c r="I118" s="11">
        <v>7.6</v>
      </c>
      <c r="J118" s="11">
        <v>28265</v>
      </c>
      <c r="K118" s="11">
        <v>2.5</v>
      </c>
      <c r="L118" s="11">
        <v>1.3</v>
      </c>
      <c r="M118" s="11">
        <v>5.5</v>
      </c>
      <c r="N118" s="11">
        <v>92</v>
      </c>
      <c r="O118" s="9">
        <v>0</v>
      </c>
      <c r="P118" s="9">
        <v>0</v>
      </c>
      <c r="Q118" s="9">
        <v>0</v>
      </c>
      <c r="R118" s="9">
        <v>9.3333333333333304</v>
      </c>
      <c r="S118" s="9">
        <v>100</v>
      </c>
      <c r="T118" s="9">
        <v>12.148148148148101</v>
      </c>
      <c r="U118" t="s">
        <v>502</v>
      </c>
    </row>
    <row r="119" spans="1:21" x14ac:dyDescent="0.3">
      <c r="A119" s="1">
        <v>4378</v>
      </c>
      <c r="B119" s="1" t="s">
        <v>159</v>
      </c>
      <c r="C119" s="1" t="s">
        <v>160</v>
      </c>
      <c r="D119" s="1">
        <v>2021</v>
      </c>
      <c r="E119" s="1" t="s">
        <v>75</v>
      </c>
      <c r="F119" s="1" t="s">
        <v>70</v>
      </c>
      <c r="G119" s="11">
        <v>27.5</v>
      </c>
      <c r="H119" s="11">
        <v>4.3499999999999996</v>
      </c>
      <c r="I119" s="11">
        <v>7.4</v>
      </c>
      <c r="J119" s="11">
        <v>46350</v>
      </c>
      <c r="K119" s="11">
        <v>2.4</v>
      </c>
      <c r="L119" s="11">
        <v>1.05</v>
      </c>
      <c r="M119" s="11">
        <v>3</v>
      </c>
      <c r="N119" s="11">
        <v>81.5</v>
      </c>
      <c r="O119" s="9">
        <v>27.5</v>
      </c>
      <c r="P119" s="9">
        <v>0</v>
      </c>
      <c r="Q119" s="9">
        <v>0</v>
      </c>
      <c r="R119" s="9">
        <v>7</v>
      </c>
      <c r="S119" s="9">
        <v>100</v>
      </c>
      <c r="T119" s="9">
        <v>21.0555555555555</v>
      </c>
      <c r="U119" t="s">
        <v>502</v>
      </c>
    </row>
    <row r="120" spans="1:21" x14ac:dyDescent="0.3">
      <c r="A120" s="1">
        <v>4383</v>
      </c>
      <c r="B120" s="2" t="s">
        <v>372</v>
      </c>
      <c r="C120" s="1" t="s">
        <v>366</v>
      </c>
      <c r="D120" s="1">
        <v>2021</v>
      </c>
      <c r="E120" s="1" t="s">
        <v>69</v>
      </c>
      <c r="F120" s="1" t="s">
        <v>70</v>
      </c>
      <c r="G120" s="11">
        <v>23</v>
      </c>
      <c r="H120" s="11">
        <v>4.45</v>
      </c>
      <c r="I120" s="11">
        <v>7.55</v>
      </c>
      <c r="J120" s="11">
        <v>44300</v>
      </c>
      <c r="K120" s="11">
        <v>2.4</v>
      </c>
      <c r="L120" s="11">
        <v>1.5999999999999901</v>
      </c>
      <c r="M120" s="11">
        <v>3</v>
      </c>
      <c r="N120" s="11">
        <v>81.5</v>
      </c>
      <c r="O120" s="9">
        <v>25.8333333333333</v>
      </c>
      <c r="P120" s="9">
        <v>0</v>
      </c>
      <c r="Q120" s="9">
        <v>0</v>
      </c>
      <c r="R120" s="9">
        <v>7</v>
      </c>
      <c r="S120" s="9">
        <v>100</v>
      </c>
      <c r="T120" s="9">
        <v>20.5</v>
      </c>
      <c r="U120" t="s">
        <v>502</v>
      </c>
    </row>
    <row r="121" spans="1:21" x14ac:dyDescent="0.3">
      <c r="A121" s="1">
        <v>4385</v>
      </c>
      <c r="B121" s="1" t="s">
        <v>84</v>
      </c>
      <c r="C121" s="1"/>
      <c r="D121" s="1">
        <v>2021</v>
      </c>
      <c r="E121" s="1" t="s">
        <v>75</v>
      </c>
      <c r="F121" s="1" t="s">
        <v>70</v>
      </c>
      <c r="G121" s="11">
        <v>23.5</v>
      </c>
      <c r="H121" s="11">
        <v>4.75</v>
      </c>
      <c r="I121" s="11">
        <v>7.55</v>
      </c>
      <c r="J121" s="11">
        <v>45550</v>
      </c>
      <c r="K121" s="11">
        <v>2.5</v>
      </c>
      <c r="L121" s="11">
        <v>1.1000000000000001</v>
      </c>
      <c r="M121" s="11">
        <v>3</v>
      </c>
      <c r="N121" s="11">
        <v>58</v>
      </c>
      <c r="O121" s="9">
        <v>20.8333333333333</v>
      </c>
      <c r="P121" s="9">
        <v>0</v>
      </c>
      <c r="Q121" s="9">
        <v>0</v>
      </c>
      <c r="R121" s="9">
        <v>1.7777777777777699</v>
      </c>
      <c r="S121" s="9">
        <v>100</v>
      </c>
      <c r="T121" s="9">
        <v>18.253086419753</v>
      </c>
      <c r="U121" t="s">
        <v>502</v>
      </c>
    </row>
    <row r="122" spans="1:21" x14ac:dyDescent="0.3">
      <c r="A122" s="1">
        <v>4386</v>
      </c>
      <c r="B122" s="1" t="s">
        <v>162</v>
      </c>
      <c r="C122" s="1" t="s">
        <v>86</v>
      </c>
      <c r="D122" s="1">
        <v>2021</v>
      </c>
      <c r="E122" s="1" t="s">
        <v>75</v>
      </c>
      <c r="F122" s="1" t="s">
        <v>70</v>
      </c>
      <c r="G122" s="11">
        <v>23.5</v>
      </c>
      <c r="H122" s="11">
        <v>4.5999999999999996</v>
      </c>
      <c r="I122" s="11">
        <v>7.4</v>
      </c>
      <c r="J122" s="11">
        <v>46000</v>
      </c>
      <c r="K122" s="11">
        <v>2.5999999999999899</v>
      </c>
      <c r="L122" s="11">
        <v>1.2</v>
      </c>
      <c r="M122" s="11">
        <v>3</v>
      </c>
      <c r="N122" s="11">
        <v>71.5</v>
      </c>
      <c r="O122" s="9">
        <v>23.3333333333333</v>
      </c>
      <c r="P122" s="9">
        <v>0</v>
      </c>
      <c r="Q122" s="9">
        <v>0</v>
      </c>
      <c r="R122" s="9">
        <v>4.7777777777777697</v>
      </c>
      <c r="S122" s="9">
        <v>100</v>
      </c>
      <c r="T122" s="9">
        <v>19.4197530864197</v>
      </c>
      <c r="U122" t="s">
        <v>502</v>
      </c>
    </row>
    <row r="123" spans="1:21" x14ac:dyDescent="0.3">
      <c r="A123" s="1">
        <v>4387</v>
      </c>
      <c r="B123" s="3" t="s">
        <v>367</v>
      </c>
      <c r="C123" s="1" t="s">
        <v>314</v>
      </c>
      <c r="D123" s="1">
        <v>2021</v>
      </c>
      <c r="E123" s="1" t="s">
        <v>69</v>
      </c>
      <c r="F123" s="1" t="s">
        <v>70</v>
      </c>
      <c r="G123" s="11">
        <v>20.5</v>
      </c>
      <c r="H123" s="11">
        <v>4.6500000000000004</v>
      </c>
      <c r="I123" s="11">
        <v>7.55</v>
      </c>
      <c r="J123" s="11">
        <v>45300</v>
      </c>
      <c r="K123" s="11">
        <v>2.5999999999999899</v>
      </c>
      <c r="L123" s="11">
        <v>1.1499999999999999</v>
      </c>
      <c r="M123" s="11">
        <v>3</v>
      </c>
      <c r="N123" s="11">
        <v>71.5</v>
      </c>
      <c r="O123" s="9">
        <v>22.499999999999901</v>
      </c>
      <c r="P123" s="9">
        <v>0</v>
      </c>
      <c r="Q123" s="9">
        <v>0</v>
      </c>
      <c r="R123" s="9">
        <v>4.7777777777777697</v>
      </c>
      <c r="S123" s="9">
        <v>100</v>
      </c>
      <c r="T123" s="9">
        <v>19.1419753086419</v>
      </c>
      <c r="U123" t="s">
        <v>502</v>
      </c>
    </row>
    <row r="124" spans="1:21" x14ac:dyDescent="0.3">
      <c r="A124" s="1">
        <v>2267</v>
      </c>
      <c r="B124" s="1" t="s">
        <v>315</v>
      </c>
      <c r="C124" s="1" t="s">
        <v>326</v>
      </c>
      <c r="D124" s="1">
        <v>2021</v>
      </c>
      <c r="E124" s="1" t="s">
        <v>164</v>
      </c>
      <c r="F124" s="1" t="s">
        <v>89</v>
      </c>
      <c r="G124" s="11">
        <v>28.5</v>
      </c>
      <c r="H124" s="11">
        <v>6.1</v>
      </c>
      <c r="I124" s="11">
        <v>7.15</v>
      </c>
      <c r="J124" s="11">
        <v>25920.5</v>
      </c>
      <c r="K124" s="11">
        <v>2.4</v>
      </c>
      <c r="L124" s="11">
        <v>2.0499999999999998</v>
      </c>
      <c r="M124" s="11">
        <v>1265</v>
      </c>
      <c r="N124" s="11">
        <v>3000</v>
      </c>
      <c r="O124" s="9">
        <v>0</v>
      </c>
      <c r="P124" s="9">
        <v>0</v>
      </c>
      <c r="Q124" s="9">
        <v>0</v>
      </c>
      <c r="R124" s="9">
        <v>100</v>
      </c>
      <c r="S124" s="9">
        <v>100</v>
      </c>
      <c r="T124" s="9">
        <v>22.2222222222222</v>
      </c>
      <c r="U124" t="s">
        <v>502</v>
      </c>
    </row>
    <row r="125" spans="1:21" x14ac:dyDescent="0.3">
      <c r="A125" s="1">
        <v>4013</v>
      </c>
      <c r="B125" s="1" t="s">
        <v>88</v>
      </c>
      <c r="C125" s="1"/>
      <c r="D125" s="1">
        <v>2021</v>
      </c>
      <c r="E125" s="1" t="s">
        <v>75</v>
      </c>
      <c r="F125" s="1" t="s">
        <v>89</v>
      </c>
      <c r="G125" s="11">
        <v>29</v>
      </c>
      <c r="H125" s="11">
        <v>7.05</v>
      </c>
      <c r="I125" s="11">
        <v>7.8999999999999897</v>
      </c>
      <c r="J125" s="11">
        <v>43950</v>
      </c>
      <c r="K125" s="11">
        <v>1.9</v>
      </c>
      <c r="L125" s="11">
        <v>0.4</v>
      </c>
      <c r="M125" s="11">
        <v>126.5</v>
      </c>
      <c r="N125" s="11">
        <v>484.5</v>
      </c>
      <c r="O125" s="9">
        <v>0</v>
      </c>
      <c r="P125" s="9">
        <v>0</v>
      </c>
      <c r="Q125" s="9">
        <v>0</v>
      </c>
      <c r="R125" s="9">
        <v>96.5555555555555</v>
      </c>
      <c r="S125" s="9">
        <v>100</v>
      </c>
      <c r="T125" s="9">
        <v>21.839506172839499</v>
      </c>
      <c r="U125" t="s">
        <v>502</v>
      </c>
    </row>
    <row r="126" spans="1:21" x14ac:dyDescent="0.3">
      <c r="A126" s="1">
        <v>4014</v>
      </c>
      <c r="B126" s="1" t="s">
        <v>90</v>
      </c>
      <c r="C126" s="1"/>
      <c r="D126" s="1">
        <v>2021</v>
      </c>
      <c r="E126" s="1" t="s">
        <v>75</v>
      </c>
      <c r="F126" s="1" t="s">
        <v>89</v>
      </c>
      <c r="G126" s="11">
        <v>28</v>
      </c>
      <c r="H126" s="11">
        <v>6.75</v>
      </c>
      <c r="I126" s="11">
        <v>7.5</v>
      </c>
      <c r="J126" s="11">
        <v>38290</v>
      </c>
      <c r="K126" s="11">
        <v>2</v>
      </c>
      <c r="L126" s="11">
        <v>0.55000000000000004</v>
      </c>
      <c r="M126" s="11">
        <v>131.5</v>
      </c>
      <c r="N126" s="11">
        <v>191.5</v>
      </c>
      <c r="O126" s="9">
        <v>0</v>
      </c>
      <c r="P126" s="9">
        <v>0</v>
      </c>
      <c r="Q126" s="9">
        <v>0</v>
      </c>
      <c r="R126" s="9">
        <v>31.4444444444444</v>
      </c>
      <c r="S126" s="9">
        <v>100</v>
      </c>
      <c r="T126" s="9">
        <v>14.604938271604899</v>
      </c>
      <c r="U126" t="s">
        <v>502</v>
      </c>
    </row>
    <row r="127" spans="1:21" x14ac:dyDescent="0.3">
      <c r="A127" s="1">
        <v>4015</v>
      </c>
      <c r="B127" s="1" t="s">
        <v>91</v>
      </c>
      <c r="C127" s="1"/>
      <c r="D127" s="1">
        <v>2021</v>
      </c>
      <c r="E127" s="1" t="s">
        <v>75</v>
      </c>
      <c r="F127" s="1" t="s">
        <v>89</v>
      </c>
      <c r="G127" s="11">
        <v>28.5</v>
      </c>
      <c r="H127" s="11">
        <v>6.55</v>
      </c>
      <c r="I127" s="11">
        <v>7.2</v>
      </c>
      <c r="J127" s="11">
        <v>46275</v>
      </c>
      <c r="K127" s="11">
        <v>1.5</v>
      </c>
      <c r="L127" s="11">
        <v>0.3</v>
      </c>
      <c r="M127" s="11">
        <v>121</v>
      </c>
      <c r="N127" s="11">
        <v>205</v>
      </c>
      <c r="O127" s="9">
        <v>0</v>
      </c>
      <c r="P127" s="9">
        <v>0</v>
      </c>
      <c r="Q127" s="9">
        <v>0</v>
      </c>
      <c r="R127" s="9">
        <v>34.4444444444444</v>
      </c>
      <c r="S127" s="9">
        <v>100</v>
      </c>
      <c r="T127" s="9">
        <v>14.938271604938199</v>
      </c>
      <c r="U127" t="s">
        <v>502</v>
      </c>
    </row>
    <row r="128" spans="1:21" x14ac:dyDescent="0.3">
      <c r="A128" s="1">
        <v>4016</v>
      </c>
      <c r="B128" s="1" t="s">
        <v>92</v>
      </c>
      <c r="C128" s="1"/>
      <c r="D128" s="1">
        <v>2021</v>
      </c>
      <c r="E128" s="1" t="s">
        <v>75</v>
      </c>
      <c r="F128" s="1" t="s">
        <v>89</v>
      </c>
      <c r="G128" s="11">
        <v>29.5</v>
      </c>
      <c r="H128" s="11">
        <v>6.85</v>
      </c>
      <c r="I128" s="11">
        <v>8</v>
      </c>
      <c r="J128" s="11">
        <v>42315</v>
      </c>
      <c r="K128" s="11">
        <v>1.9</v>
      </c>
      <c r="L128" s="11">
        <v>1.3499999999999901</v>
      </c>
      <c r="M128" s="11">
        <v>181.5</v>
      </c>
      <c r="N128" s="11">
        <v>471.5</v>
      </c>
      <c r="O128" s="9">
        <v>0</v>
      </c>
      <c r="P128" s="9">
        <v>0</v>
      </c>
      <c r="Q128" s="9">
        <v>0</v>
      </c>
      <c r="R128" s="9">
        <v>93.6666666666666</v>
      </c>
      <c r="S128" s="9">
        <v>100</v>
      </c>
      <c r="T128" s="9">
        <v>21.518518518518501</v>
      </c>
      <c r="U128" t="s">
        <v>502</v>
      </c>
    </row>
    <row r="129" spans="1:21" x14ac:dyDescent="0.3">
      <c r="A129" s="1">
        <v>4017</v>
      </c>
      <c r="B129" s="1" t="s">
        <v>165</v>
      </c>
      <c r="C129" s="1"/>
      <c r="D129" s="1">
        <v>2021</v>
      </c>
      <c r="E129" s="1" t="s">
        <v>75</v>
      </c>
      <c r="F129" s="1" t="s">
        <v>89</v>
      </c>
      <c r="G129" s="11">
        <v>29.5</v>
      </c>
      <c r="H129" s="11">
        <v>6.4499999999999904</v>
      </c>
      <c r="I129" s="11">
        <v>7.25</v>
      </c>
      <c r="J129" s="11">
        <v>41940</v>
      </c>
      <c r="K129" s="11">
        <v>1.9</v>
      </c>
      <c r="L129" s="11">
        <v>0.55000000000000004</v>
      </c>
      <c r="M129" s="11">
        <v>131</v>
      </c>
      <c r="N129" s="11">
        <v>286.5</v>
      </c>
      <c r="O129" s="9">
        <v>0</v>
      </c>
      <c r="P129" s="9">
        <v>0</v>
      </c>
      <c r="Q129" s="9">
        <v>0</v>
      </c>
      <c r="R129" s="9">
        <v>52.5555555555555</v>
      </c>
      <c r="S129" s="9">
        <v>100</v>
      </c>
      <c r="T129" s="9">
        <v>16.950617283950599</v>
      </c>
      <c r="U129" t="s">
        <v>502</v>
      </c>
    </row>
    <row r="130" spans="1:21" x14ac:dyDescent="0.3">
      <c r="A130" s="1">
        <v>2354</v>
      </c>
      <c r="B130" s="3" t="s">
        <v>246</v>
      </c>
      <c r="C130" s="1" t="s">
        <v>316</v>
      </c>
      <c r="D130" s="1">
        <v>2021</v>
      </c>
      <c r="E130" s="1" t="s">
        <v>94</v>
      </c>
      <c r="F130" s="1" t="s">
        <v>70</v>
      </c>
      <c r="G130" s="11">
        <v>25.5</v>
      </c>
      <c r="H130" s="11">
        <v>4.4000000000000004</v>
      </c>
      <c r="I130" s="11">
        <v>7.6999999999999904</v>
      </c>
      <c r="J130" s="11">
        <v>369</v>
      </c>
      <c r="K130" s="11">
        <v>2.9</v>
      </c>
      <c r="L130" s="11">
        <v>1.5</v>
      </c>
      <c r="M130" s="11">
        <v>16</v>
      </c>
      <c r="N130" s="11">
        <v>165</v>
      </c>
      <c r="O130" s="9">
        <v>26.6666666666666</v>
      </c>
      <c r="P130" s="9">
        <v>0</v>
      </c>
      <c r="Q130" s="9">
        <v>0</v>
      </c>
      <c r="R130" s="9">
        <v>25.5555555555555</v>
      </c>
      <c r="S130" s="9">
        <v>0</v>
      </c>
      <c r="T130" s="9">
        <v>11.7283950617283</v>
      </c>
      <c r="U130" t="s">
        <v>502</v>
      </c>
    </row>
    <row r="131" spans="1:21" x14ac:dyDescent="0.3">
      <c r="A131" s="1">
        <v>2355</v>
      </c>
      <c r="B131" s="2" t="s">
        <v>317</v>
      </c>
      <c r="C131" s="1" t="s">
        <v>316</v>
      </c>
      <c r="D131" s="1">
        <v>2021</v>
      </c>
      <c r="E131" s="1" t="s">
        <v>94</v>
      </c>
      <c r="F131" s="1" t="s">
        <v>70</v>
      </c>
      <c r="G131" s="11">
        <v>27</v>
      </c>
      <c r="H131" s="11">
        <v>4.1500000000000004</v>
      </c>
      <c r="I131" s="11">
        <v>7.3</v>
      </c>
      <c r="J131" s="11">
        <v>12962.5</v>
      </c>
      <c r="K131" s="11">
        <v>4.5</v>
      </c>
      <c r="L131" s="11">
        <v>2.35</v>
      </c>
      <c r="M131" s="11">
        <v>24.5</v>
      </c>
      <c r="N131" s="11">
        <v>335</v>
      </c>
      <c r="O131" s="9">
        <v>30.8333333333333</v>
      </c>
      <c r="P131" s="9">
        <v>50</v>
      </c>
      <c r="Q131" s="9">
        <v>0</v>
      </c>
      <c r="R131" s="9">
        <v>63.3333333333333</v>
      </c>
      <c r="S131" s="9">
        <v>100</v>
      </c>
      <c r="T131" s="9">
        <v>39.537037037037003</v>
      </c>
      <c r="U131" t="s">
        <v>502</v>
      </c>
    </row>
    <row r="132" spans="1:21" x14ac:dyDescent="0.3">
      <c r="A132" s="1">
        <v>3051</v>
      </c>
      <c r="B132" s="3" t="s">
        <v>239</v>
      </c>
      <c r="C132" s="1" t="s">
        <v>318</v>
      </c>
      <c r="D132" s="1">
        <v>2021</v>
      </c>
      <c r="E132" s="1" t="s">
        <v>94</v>
      </c>
      <c r="F132" s="1" t="s">
        <v>70</v>
      </c>
      <c r="G132" s="11">
        <v>25</v>
      </c>
      <c r="H132" s="11">
        <v>6</v>
      </c>
      <c r="I132" s="11">
        <v>7.55</v>
      </c>
      <c r="J132" s="11">
        <v>1400</v>
      </c>
      <c r="K132" s="11">
        <v>4.5999999999999996</v>
      </c>
      <c r="L132" s="11">
        <v>2.25</v>
      </c>
      <c r="M132" s="11">
        <v>3</v>
      </c>
      <c r="N132" s="11">
        <v>465</v>
      </c>
      <c r="O132" s="9">
        <v>0</v>
      </c>
      <c r="P132" s="9">
        <v>53.3333333333333</v>
      </c>
      <c r="Q132" s="9">
        <v>0</v>
      </c>
      <c r="R132" s="9">
        <v>92.2222222222222</v>
      </c>
      <c r="S132" s="9">
        <v>60</v>
      </c>
      <c r="T132" s="9">
        <v>28.765432098765402</v>
      </c>
      <c r="U132" t="s">
        <v>502</v>
      </c>
    </row>
    <row r="133" spans="1:21" x14ac:dyDescent="0.3">
      <c r="A133" s="1">
        <v>4356</v>
      </c>
      <c r="B133" s="2" t="s">
        <v>241</v>
      </c>
      <c r="C133" s="1" t="s">
        <v>242</v>
      </c>
      <c r="D133" s="1">
        <v>2021</v>
      </c>
      <c r="E133" s="1" t="s">
        <v>94</v>
      </c>
      <c r="F133" s="1" t="s">
        <v>70</v>
      </c>
      <c r="G133" s="11">
        <v>27</v>
      </c>
      <c r="H133" s="11">
        <v>6.75</v>
      </c>
      <c r="I133" s="11">
        <v>7.3</v>
      </c>
      <c r="J133" s="11">
        <v>294</v>
      </c>
      <c r="K133" s="11">
        <v>1.8</v>
      </c>
      <c r="L133" s="11">
        <v>0.95</v>
      </c>
      <c r="M133" s="11">
        <v>8</v>
      </c>
      <c r="N133" s="11">
        <v>106.5</v>
      </c>
      <c r="O133" s="9">
        <v>0</v>
      </c>
      <c r="P133" s="9">
        <v>0</v>
      </c>
      <c r="Q133" s="9">
        <v>0</v>
      </c>
      <c r="R133" s="9">
        <v>12.5555555555555</v>
      </c>
      <c r="S133" s="9">
        <v>0</v>
      </c>
      <c r="T133" s="9">
        <v>1.3950617283950599</v>
      </c>
      <c r="U133" t="s">
        <v>502</v>
      </c>
    </row>
    <row r="134" spans="1:21" x14ac:dyDescent="0.3">
      <c r="A134" s="1">
        <v>4370</v>
      </c>
      <c r="B134" s="3" t="s">
        <v>244</v>
      </c>
      <c r="C134" s="1" t="s">
        <v>319</v>
      </c>
      <c r="D134" s="1">
        <v>2021</v>
      </c>
      <c r="E134" s="1" t="s">
        <v>94</v>
      </c>
      <c r="F134" s="1" t="s">
        <v>70</v>
      </c>
      <c r="G134" s="11">
        <v>25</v>
      </c>
      <c r="H134" s="11">
        <v>4.4000000000000004</v>
      </c>
      <c r="I134" s="11">
        <v>7.4</v>
      </c>
      <c r="J134" s="11">
        <v>678.5</v>
      </c>
      <c r="K134" s="11">
        <v>2.9</v>
      </c>
      <c r="L134" s="11">
        <v>1.4</v>
      </c>
      <c r="M134" s="11">
        <v>16</v>
      </c>
      <c r="N134" s="11">
        <v>195</v>
      </c>
      <c r="O134" s="9">
        <v>26.6666666666666</v>
      </c>
      <c r="P134" s="9">
        <v>0</v>
      </c>
      <c r="Q134" s="9">
        <v>0</v>
      </c>
      <c r="R134" s="9">
        <v>32.2222222222222</v>
      </c>
      <c r="S134" s="9">
        <v>11.9</v>
      </c>
      <c r="T134" s="9">
        <v>13.7913580246913</v>
      </c>
      <c r="U134" t="s">
        <v>502</v>
      </c>
    </row>
    <row r="135" spans="1:21" x14ac:dyDescent="0.3">
      <c r="A135" s="1">
        <v>4374</v>
      </c>
      <c r="B135" s="2" t="s">
        <v>248</v>
      </c>
      <c r="C135" s="1" t="s">
        <v>320</v>
      </c>
      <c r="D135" s="1">
        <v>2021</v>
      </c>
      <c r="E135" s="1" t="s">
        <v>94</v>
      </c>
      <c r="F135" s="1" t="s">
        <v>70</v>
      </c>
      <c r="G135" s="11">
        <v>25</v>
      </c>
      <c r="H135" s="11">
        <v>5.35</v>
      </c>
      <c r="I135" s="11">
        <v>7.55</v>
      </c>
      <c r="J135" s="11">
        <v>685</v>
      </c>
      <c r="K135" s="11">
        <v>2.5499999999999998</v>
      </c>
      <c r="L135" s="11">
        <v>1.5499999999999901</v>
      </c>
      <c r="M135" s="11">
        <v>81.5</v>
      </c>
      <c r="N135" s="11">
        <v>180</v>
      </c>
      <c r="O135" s="9">
        <v>10.8333333333333</v>
      </c>
      <c r="P135" s="9">
        <v>0</v>
      </c>
      <c r="Q135" s="9">
        <v>0</v>
      </c>
      <c r="R135" s="9">
        <v>28.8888888888888</v>
      </c>
      <c r="S135" s="9">
        <v>12.3333333333333</v>
      </c>
      <c r="T135" s="9">
        <v>8.1913580246913593</v>
      </c>
      <c r="U135" t="s">
        <v>500</v>
      </c>
    </row>
    <row r="136" spans="1:21" x14ac:dyDescent="0.3">
      <c r="A136" s="1">
        <v>2057</v>
      </c>
      <c r="B136" s="3" t="s">
        <v>250</v>
      </c>
      <c r="C136" s="1" t="s">
        <v>251</v>
      </c>
      <c r="D136" s="1">
        <v>2021</v>
      </c>
      <c r="E136" s="1" t="s">
        <v>94</v>
      </c>
      <c r="F136" s="1" t="s">
        <v>100</v>
      </c>
      <c r="G136" s="11">
        <v>22</v>
      </c>
      <c r="H136" s="11">
        <v>1.4</v>
      </c>
      <c r="I136" s="11">
        <v>7.4499999999999904</v>
      </c>
      <c r="J136" s="11">
        <v>1373</v>
      </c>
      <c r="K136" s="11">
        <v>51.5</v>
      </c>
      <c r="L136" s="11">
        <v>0.85</v>
      </c>
      <c r="M136" s="11">
        <v>7024500</v>
      </c>
      <c r="N136" s="11">
        <v>7395000</v>
      </c>
      <c r="O136" s="9">
        <v>76.6666666666666</v>
      </c>
      <c r="P136" s="9">
        <v>100</v>
      </c>
      <c r="Q136" s="9">
        <v>0</v>
      </c>
      <c r="R136" s="9">
        <v>100</v>
      </c>
      <c r="S136" s="9">
        <v>58.2</v>
      </c>
      <c r="T136" s="9">
        <v>65.355555555555497</v>
      </c>
      <c r="U136" t="s">
        <v>502</v>
      </c>
    </row>
    <row r="137" spans="1:21" x14ac:dyDescent="0.3">
      <c r="A137" s="1">
        <v>2265</v>
      </c>
      <c r="B137" s="2" t="s">
        <v>254</v>
      </c>
      <c r="C137" s="1" t="s">
        <v>255</v>
      </c>
      <c r="D137" s="1">
        <v>2021</v>
      </c>
      <c r="E137" s="1" t="s">
        <v>94</v>
      </c>
      <c r="F137" s="1" t="s">
        <v>89</v>
      </c>
      <c r="G137" s="11">
        <v>29</v>
      </c>
      <c r="H137" s="11">
        <v>6.55</v>
      </c>
      <c r="I137" s="11">
        <v>7</v>
      </c>
      <c r="J137" s="11">
        <v>235</v>
      </c>
      <c r="K137" s="11">
        <v>2.8</v>
      </c>
      <c r="L137" s="11">
        <v>0.95</v>
      </c>
      <c r="M137" s="11">
        <v>1545</v>
      </c>
      <c r="N137" s="11">
        <v>2300</v>
      </c>
      <c r="O137" s="9">
        <v>0</v>
      </c>
      <c r="P137" s="9">
        <v>0</v>
      </c>
      <c r="Q137" s="9">
        <v>0</v>
      </c>
      <c r="R137" s="9">
        <v>100</v>
      </c>
      <c r="S137" s="9">
        <v>0</v>
      </c>
      <c r="T137" s="9">
        <v>11.1111111111111</v>
      </c>
      <c r="U137" t="s">
        <v>500</v>
      </c>
    </row>
    <row r="138" spans="1:21" x14ac:dyDescent="0.3">
      <c r="A138" s="1">
        <v>2266</v>
      </c>
      <c r="B138" s="3" t="s">
        <v>256</v>
      </c>
      <c r="C138" s="1" t="s">
        <v>257</v>
      </c>
      <c r="D138" s="1">
        <v>2021</v>
      </c>
      <c r="E138" s="1" t="s">
        <v>94</v>
      </c>
      <c r="F138" s="1" t="s">
        <v>89</v>
      </c>
      <c r="G138" s="11">
        <v>29</v>
      </c>
      <c r="H138" s="11">
        <v>6.25</v>
      </c>
      <c r="I138" s="11">
        <v>7.1</v>
      </c>
      <c r="J138" s="11">
        <v>229</v>
      </c>
      <c r="K138" s="11">
        <v>2.1</v>
      </c>
      <c r="L138" s="11">
        <v>0.9</v>
      </c>
      <c r="M138" s="11">
        <v>2300</v>
      </c>
      <c r="N138" s="11">
        <v>3300</v>
      </c>
      <c r="O138" s="9">
        <v>0</v>
      </c>
      <c r="P138" s="9">
        <v>0</v>
      </c>
      <c r="Q138" s="9">
        <v>0</v>
      </c>
      <c r="R138" s="9">
        <v>100</v>
      </c>
      <c r="S138" s="9">
        <v>0</v>
      </c>
      <c r="T138" s="9">
        <v>11.1111111111111</v>
      </c>
      <c r="U138" t="s">
        <v>500</v>
      </c>
    </row>
    <row r="139" spans="1:21" x14ac:dyDescent="0.3">
      <c r="A139" s="1">
        <v>2268</v>
      </c>
      <c r="B139" s="2" t="s">
        <v>258</v>
      </c>
      <c r="C139" s="1" t="s">
        <v>259</v>
      </c>
      <c r="D139" s="1">
        <v>2021</v>
      </c>
      <c r="E139" s="1" t="s">
        <v>94</v>
      </c>
      <c r="F139" s="1" t="s">
        <v>89</v>
      </c>
      <c r="G139" s="11">
        <v>29</v>
      </c>
      <c r="H139" s="11">
        <v>6.15</v>
      </c>
      <c r="I139" s="11">
        <v>6.9</v>
      </c>
      <c r="J139" s="11">
        <v>23344</v>
      </c>
      <c r="K139" s="11">
        <v>1.6</v>
      </c>
      <c r="L139" s="11">
        <v>0.44999999999999901</v>
      </c>
      <c r="M139" s="11">
        <v>1490</v>
      </c>
      <c r="N139" s="11">
        <v>3100</v>
      </c>
      <c r="O139" s="9">
        <v>0</v>
      </c>
      <c r="P139" s="9">
        <v>0</v>
      </c>
      <c r="Q139" s="9">
        <v>0</v>
      </c>
      <c r="R139" s="9">
        <v>100</v>
      </c>
      <c r="S139" s="9">
        <v>100</v>
      </c>
      <c r="T139" s="9">
        <v>22.2222222222222</v>
      </c>
      <c r="U139" t="s">
        <v>500</v>
      </c>
    </row>
    <row r="140" spans="1:21" x14ac:dyDescent="0.3">
      <c r="A140" s="1">
        <v>2073</v>
      </c>
      <c r="B140" s="3" t="s">
        <v>260</v>
      </c>
      <c r="C140" s="1" t="s">
        <v>321</v>
      </c>
      <c r="D140" s="1">
        <v>2021</v>
      </c>
      <c r="E140" s="1" t="s">
        <v>94</v>
      </c>
      <c r="F140" s="1" t="s">
        <v>106</v>
      </c>
      <c r="G140" s="11">
        <v>28</v>
      </c>
      <c r="H140" s="11">
        <v>5.9499999999999904</v>
      </c>
      <c r="I140" s="11">
        <v>7.85</v>
      </c>
      <c r="J140" s="11">
        <v>322</v>
      </c>
      <c r="K140" s="11">
        <v>1.1000000000000001</v>
      </c>
      <c r="L140" s="11">
        <v>2.1</v>
      </c>
      <c r="M140" s="11">
        <v>4</v>
      </c>
      <c r="N140" s="11">
        <v>26.5</v>
      </c>
      <c r="O140" s="9">
        <v>0.83333333333334503</v>
      </c>
      <c r="P140" s="9">
        <v>0</v>
      </c>
      <c r="Q140" s="9">
        <v>0</v>
      </c>
      <c r="R140" s="9">
        <v>0</v>
      </c>
      <c r="S140" s="9">
        <v>0</v>
      </c>
      <c r="T140" s="9">
        <v>0.27777777777778101</v>
      </c>
      <c r="U140" t="s">
        <v>500</v>
      </c>
    </row>
    <row r="141" spans="1:21" x14ac:dyDescent="0.3">
      <c r="A141" s="1">
        <v>2074</v>
      </c>
      <c r="B141" s="2" t="s">
        <v>322</v>
      </c>
      <c r="C141" s="1" t="s">
        <v>323</v>
      </c>
      <c r="D141" s="1">
        <v>2021</v>
      </c>
      <c r="E141" s="1" t="s">
        <v>94</v>
      </c>
      <c r="F141" s="1" t="s">
        <v>106</v>
      </c>
      <c r="G141" s="11">
        <v>31</v>
      </c>
      <c r="H141" s="11">
        <v>7.75</v>
      </c>
      <c r="I141" s="11">
        <v>8.15</v>
      </c>
      <c r="J141" s="11">
        <v>562.5</v>
      </c>
      <c r="K141" s="11"/>
      <c r="L141" s="11">
        <v>0.5</v>
      </c>
      <c r="M141" s="11">
        <v>25.5</v>
      </c>
      <c r="N141" s="11">
        <v>95</v>
      </c>
      <c r="O141" s="9">
        <v>0</v>
      </c>
      <c r="P141" s="9"/>
      <c r="Q141" s="9">
        <v>0</v>
      </c>
      <c r="R141" s="9">
        <v>10</v>
      </c>
      <c r="S141" s="9">
        <v>4.1666666666666599</v>
      </c>
      <c r="T141" s="9">
        <v>1.57407407407407</v>
      </c>
      <c r="U141" t="s">
        <v>500</v>
      </c>
    </row>
    <row r="142" spans="1:21" x14ac:dyDescent="0.3">
      <c r="A142" s="1">
        <v>4421</v>
      </c>
      <c r="B142" s="3" t="s">
        <v>324</v>
      </c>
      <c r="C142" s="1" t="s">
        <v>325</v>
      </c>
      <c r="D142" s="1">
        <v>2021</v>
      </c>
      <c r="E142" s="1" t="s">
        <v>94</v>
      </c>
      <c r="F142" s="1" t="s">
        <v>106</v>
      </c>
      <c r="G142" s="11">
        <v>25</v>
      </c>
      <c r="H142" s="11">
        <v>7.55</v>
      </c>
      <c r="I142" s="11">
        <v>7.7</v>
      </c>
      <c r="J142" s="11">
        <v>427</v>
      </c>
      <c r="K142" s="11"/>
      <c r="L142" s="11">
        <v>0.3</v>
      </c>
      <c r="M142" s="11">
        <v>7.8</v>
      </c>
      <c r="N142" s="11">
        <v>45.5</v>
      </c>
      <c r="O142" s="9">
        <v>0</v>
      </c>
      <c r="P142" s="9"/>
      <c r="Q142" s="9">
        <v>0</v>
      </c>
      <c r="R142" s="9">
        <v>0</v>
      </c>
      <c r="S142" s="9">
        <v>0</v>
      </c>
      <c r="T142" s="9">
        <v>0</v>
      </c>
      <c r="U142" t="s">
        <v>500</v>
      </c>
    </row>
    <row r="143" spans="1:21" x14ac:dyDescent="0.3">
      <c r="A143" s="1">
        <v>1013</v>
      </c>
      <c r="B143" s="2" t="s">
        <v>410</v>
      </c>
      <c r="C143" s="1" t="s">
        <v>454</v>
      </c>
      <c r="D143" s="1">
        <v>2021</v>
      </c>
      <c r="E143" s="1" t="s">
        <v>25</v>
      </c>
      <c r="F143" s="1" t="s">
        <v>40</v>
      </c>
      <c r="G143" s="11">
        <v>11.75</v>
      </c>
      <c r="H143" s="11">
        <v>8.75</v>
      </c>
      <c r="I143" s="11">
        <v>7.75</v>
      </c>
      <c r="J143" s="11">
        <v>2162.5</v>
      </c>
      <c r="K143" s="11">
        <v>1</v>
      </c>
      <c r="L143" s="11">
        <v>0.83</v>
      </c>
      <c r="M143" s="11">
        <v>635</v>
      </c>
      <c r="N143" s="11">
        <v>7</v>
      </c>
      <c r="O143" s="9">
        <v>0</v>
      </c>
      <c r="P143" s="9">
        <v>0</v>
      </c>
      <c r="Q143" s="9">
        <v>0</v>
      </c>
      <c r="R143" s="9">
        <v>0</v>
      </c>
      <c r="S143" s="9">
        <v>100</v>
      </c>
      <c r="T143" s="9">
        <v>11.1111111111111</v>
      </c>
      <c r="U143" t="s">
        <v>500</v>
      </c>
    </row>
    <row r="144" spans="1:21" x14ac:dyDescent="0.3">
      <c r="A144" s="1">
        <v>4446</v>
      </c>
      <c r="B144" s="3" t="s">
        <v>411</v>
      </c>
      <c r="C144" s="1" t="s">
        <v>366</v>
      </c>
      <c r="D144" s="1">
        <v>2021</v>
      </c>
      <c r="E144" s="1" t="s">
        <v>25</v>
      </c>
      <c r="F144" s="1" t="s">
        <v>40</v>
      </c>
      <c r="G144" s="11">
        <v>11.55</v>
      </c>
      <c r="H144" s="11">
        <v>9</v>
      </c>
      <c r="I144" s="11">
        <v>8</v>
      </c>
      <c r="J144" s="11">
        <v>2435</v>
      </c>
      <c r="K144" s="11">
        <v>1</v>
      </c>
      <c r="L144" s="11">
        <v>1.1199999999999899</v>
      </c>
      <c r="M144" s="11">
        <v>975</v>
      </c>
      <c r="N144" s="11">
        <v>48</v>
      </c>
      <c r="O144" s="9">
        <v>0</v>
      </c>
      <c r="P144" s="9">
        <v>0</v>
      </c>
      <c r="Q144" s="9">
        <v>0</v>
      </c>
      <c r="R144" s="9">
        <v>0</v>
      </c>
      <c r="S144" s="9">
        <v>100</v>
      </c>
      <c r="T144" s="9">
        <v>11.1111111111111</v>
      </c>
      <c r="U144" t="s">
        <v>500</v>
      </c>
    </row>
    <row r="145" spans="1:21" x14ac:dyDescent="0.3">
      <c r="A145" s="1">
        <v>4447</v>
      </c>
      <c r="B145" s="2" t="s">
        <v>412</v>
      </c>
      <c r="C145" s="1" t="s">
        <v>366</v>
      </c>
      <c r="D145" s="1">
        <v>2021</v>
      </c>
      <c r="E145" s="1" t="s">
        <v>25</v>
      </c>
      <c r="F145" s="1" t="s">
        <v>40</v>
      </c>
      <c r="G145" s="11">
        <v>11.45</v>
      </c>
      <c r="H145" s="11">
        <v>8.9</v>
      </c>
      <c r="I145" s="11">
        <v>7.8</v>
      </c>
      <c r="J145" s="11">
        <v>1451.5</v>
      </c>
      <c r="K145" s="11">
        <v>1</v>
      </c>
      <c r="L145" s="11">
        <v>1.1199999999999899</v>
      </c>
      <c r="M145" s="11">
        <v>1600</v>
      </c>
      <c r="N145" s="11">
        <v>56</v>
      </c>
      <c r="O145" s="9">
        <v>0</v>
      </c>
      <c r="P145" s="9">
        <v>0</v>
      </c>
      <c r="Q145" s="9">
        <v>0</v>
      </c>
      <c r="R145" s="9">
        <v>1.3333333333333299</v>
      </c>
      <c r="S145" s="9">
        <v>63.433333333333302</v>
      </c>
      <c r="T145" s="9">
        <v>7.19629629629629</v>
      </c>
      <c r="U145" t="s">
        <v>500</v>
      </c>
    </row>
    <row r="146" spans="1:21" x14ac:dyDescent="0.3">
      <c r="A146" s="1">
        <v>4032</v>
      </c>
      <c r="B146" s="3" t="s">
        <v>413</v>
      </c>
      <c r="C146" s="1" t="s">
        <v>366</v>
      </c>
      <c r="D146" s="1">
        <v>2021</v>
      </c>
      <c r="E146" s="1" t="s">
        <v>25</v>
      </c>
      <c r="F146" s="1" t="s">
        <v>40</v>
      </c>
      <c r="G146" s="11">
        <v>15.65</v>
      </c>
      <c r="H146" s="11">
        <v>9.0500000000000007</v>
      </c>
      <c r="I146" s="11">
        <v>7.7</v>
      </c>
      <c r="J146" s="11">
        <v>240.5</v>
      </c>
      <c r="K146" s="11">
        <v>1</v>
      </c>
      <c r="L146" s="11">
        <v>1.05</v>
      </c>
      <c r="M146" s="11">
        <v>175</v>
      </c>
      <c r="N146" s="11">
        <v>2</v>
      </c>
      <c r="O146" s="9">
        <v>0</v>
      </c>
      <c r="P146" s="9">
        <v>0</v>
      </c>
      <c r="Q146" s="9">
        <v>0</v>
      </c>
      <c r="R146" s="9">
        <v>0</v>
      </c>
      <c r="S146" s="9">
        <v>0</v>
      </c>
      <c r="T146" s="9">
        <v>0</v>
      </c>
      <c r="U146" t="s">
        <v>500</v>
      </c>
    </row>
    <row r="147" spans="1:21" x14ac:dyDescent="0.3">
      <c r="A147" s="1">
        <v>4033</v>
      </c>
      <c r="B147" s="2" t="s">
        <v>414</v>
      </c>
      <c r="C147" s="1" t="s">
        <v>366</v>
      </c>
      <c r="D147" s="1">
        <v>2021</v>
      </c>
      <c r="E147" s="1" t="s">
        <v>25</v>
      </c>
      <c r="F147" s="1" t="s">
        <v>40</v>
      </c>
      <c r="G147" s="11">
        <v>15.6</v>
      </c>
      <c r="H147" s="11">
        <v>8.9499999999999993</v>
      </c>
      <c r="I147" s="11">
        <v>7.6499999999999897</v>
      </c>
      <c r="J147" s="11">
        <v>231</v>
      </c>
      <c r="K147" s="11">
        <v>1</v>
      </c>
      <c r="L147" s="11">
        <v>0.87</v>
      </c>
      <c r="M147" s="11">
        <v>345</v>
      </c>
      <c r="N147" s="11">
        <v>2</v>
      </c>
      <c r="O147" s="9">
        <v>0</v>
      </c>
      <c r="P147" s="9">
        <v>0</v>
      </c>
      <c r="Q147" s="9">
        <v>0</v>
      </c>
      <c r="R147" s="9">
        <v>0</v>
      </c>
      <c r="S147" s="9">
        <v>0</v>
      </c>
      <c r="T147" s="9">
        <v>0</v>
      </c>
      <c r="U147" t="s">
        <v>500</v>
      </c>
    </row>
    <row r="148" spans="1:21" x14ac:dyDescent="0.3">
      <c r="A148" s="1">
        <v>4450</v>
      </c>
      <c r="B148" s="3" t="s">
        <v>415</v>
      </c>
      <c r="C148" s="1" t="s">
        <v>366</v>
      </c>
      <c r="D148" s="1">
        <v>2021</v>
      </c>
      <c r="E148" s="1" t="s">
        <v>25</v>
      </c>
      <c r="F148" s="1" t="s">
        <v>40</v>
      </c>
      <c r="G148" s="11">
        <v>11.45</v>
      </c>
      <c r="H148" s="11">
        <v>9.1999999999999993</v>
      </c>
      <c r="I148" s="11">
        <v>7.85</v>
      </c>
      <c r="J148" s="11">
        <v>2398.5</v>
      </c>
      <c r="K148" s="11">
        <v>1</v>
      </c>
      <c r="L148" s="11">
        <v>1.22</v>
      </c>
      <c r="M148" s="11">
        <v>824.5</v>
      </c>
      <c r="N148" s="11">
        <v>2</v>
      </c>
      <c r="O148" s="9">
        <v>0</v>
      </c>
      <c r="P148" s="9">
        <v>0</v>
      </c>
      <c r="Q148" s="9">
        <v>0</v>
      </c>
      <c r="R148" s="9">
        <v>0</v>
      </c>
      <c r="S148" s="9">
        <v>100</v>
      </c>
      <c r="T148" s="9">
        <v>11.1111111111111</v>
      </c>
      <c r="U148" t="s">
        <v>500</v>
      </c>
    </row>
    <row r="149" spans="1:21" x14ac:dyDescent="0.3">
      <c r="A149" s="1">
        <v>4451</v>
      </c>
      <c r="B149" s="2" t="s">
        <v>453</v>
      </c>
      <c r="C149" s="1" t="s">
        <v>366</v>
      </c>
      <c r="D149" s="1">
        <v>2021</v>
      </c>
      <c r="E149" s="1" t="s">
        <v>25</v>
      </c>
      <c r="F149" s="1" t="s">
        <v>40</v>
      </c>
      <c r="G149" s="11">
        <v>11.45</v>
      </c>
      <c r="H149" s="11">
        <v>9.1999999999999993</v>
      </c>
      <c r="I149" s="11">
        <v>7.6499999999999897</v>
      </c>
      <c r="J149" s="11">
        <v>2403.5</v>
      </c>
      <c r="K149" s="11">
        <v>1</v>
      </c>
      <c r="L149" s="11">
        <v>1.42</v>
      </c>
      <c r="M149" s="11">
        <v>910</v>
      </c>
      <c r="N149" s="11">
        <v>3.5</v>
      </c>
      <c r="O149" s="9">
        <v>0</v>
      </c>
      <c r="P149" s="9">
        <v>0</v>
      </c>
      <c r="Q149" s="9">
        <v>0</v>
      </c>
      <c r="R149" s="9">
        <v>0</v>
      </c>
      <c r="S149" s="9">
        <v>100</v>
      </c>
      <c r="T149" s="9">
        <v>11.1111111111111</v>
      </c>
      <c r="U149" t="s">
        <v>500</v>
      </c>
    </row>
    <row r="150" spans="1:21" x14ac:dyDescent="0.3">
      <c r="A150" s="1">
        <v>30009</v>
      </c>
      <c r="B150" s="3" t="s">
        <v>453</v>
      </c>
      <c r="C150" s="1" t="s">
        <v>455</v>
      </c>
      <c r="D150" s="1">
        <v>2021</v>
      </c>
      <c r="E150" s="1" t="s">
        <v>25</v>
      </c>
      <c r="F150" s="1" t="s">
        <v>40</v>
      </c>
      <c r="G150" s="11">
        <v>17</v>
      </c>
      <c r="H150" s="11">
        <v>9.3000000000000007</v>
      </c>
      <c r="I150" s="11">
        <v>7.4</v>
      </c>
      <c r="J150" s="11">
        <v>250</v>
      </c>
      <c r="K150" s="11">
        <v>2</v>
      </c>
      <c r="L150" s="11">
        <v>0.52</v>
      </c>
      <c r="M150" s="11">
        <v>10245</v>
      </c>
      <c r="N150" s="11">
        <v>169</v>
      </c>
      <c r="O150" s="9">
        <v>0</v>
      </c>
      <c r="P150" s="9">
        <v>0</v>
      </c>
      <c r="Q150" s="9">
        <v>0</v>
      </c>
      <c r="R150" s="9">
        <v>26.4444444444444</v>
      </c>
      <c r="S150" s="9">
        <v>0</v>
      </c>
      <c r="T150" s="9">
        <v>2.93827160493827</v>
      </c>
      <c r="U150" t="s">
        <v>500</v>
      </c>
    </row>
    <row r="151" spans="1:21" x14ac:dyDescent="0.3">
      <c r="A151" s="1">
        <v>1014</v>
      </c>
      <c r="B151" s="2" t="s">
        <v>453</v>
      </c>
      <c r="C151" s="1" t="s">
        <v>456</v>
      </c>
      <c r="D151" s="1">
        <v>2021</v>
      </c>
      <c r="E151" s="1" t="s">
        <v>25</v>
      </c>
      <c r="F151" s="1" t="s">
        <v>40</v>
      </c>
      <c r="G151" s="11">
        <v>14.6</v>
      </c>
      <c r="H151" s="11">
        <v>8.9499999999999993</v>
      </c>
      <c r="I151" s="11">
        <v>7.6999999999999904</v>
      </c>
      <c r="J151" s="11">
        <v>198.5</v>
      </c>
      <c r="K151" s="11">
        <v>1</v>
      </c>
      <c r="L151" s="11">
        <v>0.54500000000000004</v>
      </c>
      <c r="M151" s="11">
        <v>124.5</v>
      </c>
      <c r="N151" s="11">
        <v>2</v>
      </c>
      <c r="O151" s="9">
        <v>0</v>
      </c>
      <c r="P151" s="9">
        <v>0</v>
      </c>
      <c r="Q151" s="9">
        <v>0</v>
      </c>
      <c r="R151" s="9">
        <v>0</v>
      </c>
      <c r="S151" s="9">
        <v>0</v>
      </c>
      <c r="T151" s="9">
        <v>0</v>
      </c>
      <c r="U151" t="s">
        <v>502</v>
      </c>
    </row>
    <row r="152" spans="1:21" x14ac:dyDescent="0.3">
      <c r="A152" s="1">
        <v>1015</v>
      </c>
      <c r="B152" s="3" t="s">
        <v>453</v>
      </c>
      <c r="C152" s="1" t="s">
        <v>457</v>
      </c>
      <c r="D152" s="1">
        <v>2021</v>
      </c>
      <c r="E152" s="1" t="s">
        <v>25</v>
      </c>
      <c r="F152" s="1" t="s">
        <v>40</v>
      </c>
      <c r="G152" s="11">
        <v>14.75</v>
      </c>
      <c r="H152" s="11">
        <v>9.0500000000000007</v>
      </c>
      <c r="I152" s="11">
        <v>7.6</v>
      </c>
      <c r="J152" s="11">
        <v>186.5</v>
      </c>
      <c r="K152" s="11">
        <v>1</v>
      </c>
      <c r="L152" s="11">
        <v>0.72</v>
      </c>
      <c r="M152" s="11">
        <v>175</v>
      </c>
      <c r="N152" s="11">
        <v>2</v>
      </c>
      <c r="O152" s="9">
        <v>0</v>
      </c>
      <c r="P152" s="9">
        <v>0</v>
      </c>
      <c r="Q152" s="9">
        <v>0</v>
      </c>
      <c r="R152" s="9">
        <v>0</v>
      </c>
      <c r="S152" s="9">
        <v>0</v>
      </c>
      <c r="T152" s="9">
        <v>0</v>
      </c>
      <c r="U152" t="s">
        <v>502</v>
      </c>
    </row>
    <row r="153" spans="1:21" x14ac:dyDescent="0.3">
      <c r="A153" s="1">
        <v>1016</v>
      </c>
      <c r="B153" s="2" t="s">
        <v>453</v>
      </c>
      <c r="C153" s="1" t="s">
        <v>458</v>
      </c>
      <c r="D153" s="1">
        <v>2021</v>
      </c>
      <c r="E153" s="1" t="s">
        <v>25</v>
      </c>
      <c r="F153" s="1" t="s">
        <v>40</v>
      </c>
      <c r="G153" s="11">
        <v>17.100000000000001</v>
      </c>
      <c r="H153" s="11">
        <v>8.8000000000000007</v>
      </c>
      <c r="I153" s="11">
        <v>7.45</v>
      </c>
      <c r="J153" s="11">
        <v>223</v>
      </c>
      <c r="K153" s="11">
        <v>1</v>
      </c>
      <c r="L153" s="11">
        <v>2.69999999999999</v>
      </c>
      <c r="M153" s="11">
        <v>12</v>
      </c>
      <c r="N153" s="11">
        <v>2</v>
      </c>
      <c r="O153" s="9">
        <v>0</v>
      </c>
      <c r="P153" s="9">
        <v>0</v>
      </c>
      <c r="Q153" s="9">
        <v>0</v>
      </c>
      <c r="R153" s="9">
        <v>0</v>
      </c>
      <c r="S153" s="9">
        <v>0</v>
      </c>
      <c r="T153" s="9">
        <v>0</v>
      </c>
      <c r="U153" t="s">
        <v>502</v>
      </c>
    </row>
    <row r="154" spans="1:21" x14ac:dyDescent="0.3">
      <c r="A154" s="1">
        <v>30010</v>
      </c>
      <c r="B154" s="3" t="s">
        <v>453</v>
      </c>
      <c r="C154" s="1" t="s">
        <v>459</v>
      </c>
      <c r="D154" s="1">
        <v>2021</v>
      </c>
      <c r="E154" s="1" t="s">
        <v>25</v>
      </c>
      <c r="F154" s="1" t="s">
        <v>187</v>
      </c>
      <c r="G154" s="11">
        <v>17.45</v>
      </c>
      <c r="H154" s="11">
        <v>9.5500000000000007</v>
      </c>
      <c r="I154" s="11">
        <v>7.4</v>
      </c>
      <c r="J154" s="11">
        <v>258.5</v>
      </c>
      <c r="K154" s="11">
        <v>2</v>
      </c>
      <c r="L154" s="11">
        <v>0.52</v>
      </c>
      <c r="M154" s="11">
        <v>27700</v>
      </c>
      <c r="N154" s="11">
        <v>275.5</v>
      </c>
      <c r="O154" s="9">
        <v>0</v>
      </c>
      <c r="P154" s="9">
        <v>0</v>
      </c>
      <c r="Q154" s="9">
        <v>0</v>
      </c>
      <c r="R154" s="9">
        <v>50.1111111111111</v>
      </c>
      <c r="S154" s="9">
        <v>0</v>
      </c>
      <c r="T154" s="9">
        <v>5.5679012345679002</v>
      </c>
      <c r="U154" t="s">
        <v>502</v>
      </c>
    </row>
    <row r="155" spans="1:21" x14ac:dyDescent="0.3">
      <c r="A155" s="1">
        <v>1814</v>
      </c>
      <c r="B155" s="3" t="s">
        <v>453</v>
      </c>
      <c r="C155" s="1" t="s">
        <v>460</v>
      </c>
      <c r="D155" s="1">
        <v>2021</v>
      </c>
      <c r="E155" s="1" t="s">
        <v>25</v>
      </c>
      <c r="F155" s="1" t="s">
        <v>187</v>
      </c>
      <c r="G155" s="11">
        <v>14.65</v>
      </c>
      <c r="H155" s="11">
        <v>8.6999999999999993</v>
      </c>
      <c r="I155" s="11">
        <v>8.0500000000000007</v>
      </c>
      <c r="J155" s="11">
        <v>239.5</v>
      </c>
      <c r="K155" s="11">
        <v>1</v>
      </c>
      <c r="L155" s="11">
        <v>1.5</v>
      </c>
      <c r="M155" s="11">
        <v>320</v>
      </c>
      <c r="N155" s="11"/>
      <c r="O155" s="9">
        <v>0</v>
      </c>
      <c r="P155" s="9">
        <v>0</v>
      </c>
      <c r="Q155" s="9">
        <v>0</v>
      </c>
      <c r="R155" s="9"/>
      <c r="S155" s="9">
        <v>0</v>
      </c>
      <c r="T155" s="9">
        <v>0</v>
      </c>
      <c r="U155" t="s">
        <v>502</v>
      </c>
    </row>
    <row r="156" spans="1:21" x14ac:dyDescent="0.3">
      <c r="A156" s="1">
        <v>3052</v>
      </c>
      <c r="B156" s="2" t="s">
        <v>327</v>
      </c>
      <c r="C156" s="1" t="s">
        <v>328</v>
      </c>
      <c r="D156" s="1">
        <v>2023</v>
      </c>
      <c r="E156" s="1" t="s">
        <v>190</v>
      </c>
      <c r="F156" s="1" t="s">
        <v>70</v>
      </c>
      <c r="G156" s="11">
        <v>23.5</v>
      </c>
      <c r="H156" s="11">
        <v>1.05</v>
      </c>
      <c r="I156" s="11">
        <v>7.4</v>
      </c>
      <c r="J156" s="11">
        <v>1914</v>
      </c>
      <c r="K156" s="11">
        <v>27.4</v>
      </c>
      <c r="L156" s="11">
        <v>7.15</v>
      </c>
      <c r="M156" s="11">
        <v>455</v>
      </c>
      <c r="N156" s="11">
        <v>3750</v>
      </c>
      <c r="O156" s="9">
        <v>82.5</v>
      </c>
      <c r="P156" s="9">
        <v>100</v>
      </c>
      <c r="Q156" s="9">
        <v>0</v>
      </c>
      <c r="R156" s="9">
        <v>100</v>
      </c>
      <c r="S156" s="9">
        <v>94.266666666666595</v>
      </c>
      <c r="T156" s="9">
        <v>71.307407407407396</v>
      </c>
      <c r="U156" t="s">
        <v>502</v>
      </c>
    </row>
    <row r="157" spans="1:21" x14ac:dyDescent="0.3">
      <c r="A157" s="1">
        <v>3053</v>
      </c>
      <c r="B157" s="3" t="s">
        <v>329</v>
      </c>
      <c r="C157" s="1" t="s">
        <v>330</v>
      </c>
      <c r="D157" s="1">
        <v>2023</v>
      </c>
      <c r="E157" s="1" t="s">
        <v>190</v>
      </c>
      <c r="F157" s="1" t="s">
        <v>70</v>
      </c>
      <c r="G157" s="11">
        <v>25</v>
      </c>
      <c r="H157" s="11">
        <v>5.9</v>
      </c>
      <c r="I157" s="11">
        <v>7.15</v>
      </c>
      <c r="J157" s="11">
        <v>12512.5</v>
      </c>
      <c r="K157" s="11">
        <v>3</v>
      </c>
      <c r="L157" s="11">
        <v>2.0499999999999998</v>
      </c>
      <c r="M157" s="11">
        <v>11.5</v>
      </c>
      <c r="N157" s="11">
        <v>267.5</v>
      </c>
      <c r="O157" s="9">
        <v>1.6666666666666601</v>
      </c>
      <c r="P157" s="9">
        <v>0</v>
      </c>
      <c r="Q157" s="9">
        <v>0</v>
      </c>
      <c r="R157" s="9">
        <v>48.3333333333333</v>
      </c>
      <c r="S157" s="9">
        <v>100</v>
      </c>
      <c r="T157" s="9">
        <v>17.037037037036999</v>
      </c>
      <c r="U157" t="s">
        <v>502</v>
      </c>
    </row>
    <row r="158" spans="1:21" x14ac:dyDescent="0.3">
      <c r="A158" s="1">
        <v>4861</v>
      </c>
      <c r="B158" s="1" t="s">
        <v>475</v>
      </c>
      <c r="C158" s="1" t="s">
        <v>476</v>
      </c>
      <c r="D158" s="1">
        <v>2023</v>
      </c>
      <c r="E158" s="1" t="s">
        <v>526</v>
      </c>
      <c r="F158" s="1" t="s">
        <v>194</v>
      </c>
      <c r="G158" s="11">
        <v>26</v>
      </c>
      <c r="H158" s="11">
        <v>7.35</v>
      </c>
      <c r="I158" s="11">
        <v>7.4</v>
      </c>
      <c r="J158" s="11">
        <v>1110</v>
      </c>
      <c r="K158" s="11">
        <v>1</v>
      </c>
      <c r="L158" s="11">
        <v>0.3</v>
      </c>
      <c r="M158" s="11">
        <v>120</v>
      </c>
      <c r="N158" s="11">
        <v>2400</v>
      </c>
      <c r="O158" s="9">
        <v>0</v>
      </c>
      <c r="P158" s="9">
        <v>0</v>
      </c>
      <c r="Q158" s="9">
        <v>0</v>
      </c>
      <c r="R158" s="9">
        <v>100</v>
      </c>
      <c r="S158" s="9">
        <v>40.6666666666666</v>
      </c>
      <c r="T158" s="9">
        <v>15.6296296296296</v>
      </c>
      <c r="U158" t="s">
        <v>502</v>
      </c>
    </row>
    <row r="159" spans="1:21" x14ac:dyDescent="0.3">
      <c r="A159" s="1">
        <v>3047</v>
      </c>
      <c r="B159" s="1" t="s">
        <v>477</v>
      </c>
      <c r="C159" s="1" t="s">
        <v>478</v>
      </c>
      <c r="D159" s="1">
        <v>2023</v>
      </c>
      <c r="E159" s="1" t="s">
        <v>526</v>
      </c>
      <c r="F159" s="1" t="s">
        <v>194</v>
      </c>
      <c r="G159" s="11">
        <v>29</v>
      </c>
      <c r="H159" s="11">
        <v>7.15</v>
      </c>
      <c r="I159" s="11">
        <v>7.6</v>
      </c>
      <c r="J159" s="11">
        <v>1380</v>
      </c>
      <c r="K159" s="11">
        <v>1</v>
      </c>
      <c r="L159" s="11">
        <v>0.3</v>
      </c>
      <c r="M159" s="11">
        <v>210</v>
      </c>
      <c r="N159" s="11">
        <v>3900</v>
      </c>
      <c r="O159" s="9">
        <v>0</v>
      </c>
      <c r="P159" s="9">
        <v>0</v>
      </c>
      <c r="Q159" s="9">
        <v>0</v>
      </c>
      <c r="R159" s="9">
        <v>100</v>
      </c>
      <c r="S159" s="9">
        <v>58.6666666666666</v>
      </c>
      <c r="T159" s="9">
        <v>17.629629629629601</v>
      </c>
      <c r="U159" t="s">
        <v>502</v>
      </c>
    </row>
    <row r="160" spans="1:21" x14ac:dyDescent="0.3">
      <c r="A160" s="1">
        <v>4464</v>
      </c>
      <c r="B160" s="2" t="s">
        <v>331</v>
      </c>
      <c r="C160" s="1" t="s">
        <v>332</v>
      </c>
      <c r="D160" s="1">
        <v>2023</v>
      </c>
      <c r="E160" s="1" t="s">
        <v>190</v>
      </c>
      <c r="F160" s="1" t="s">
        <v>40</v>
      </c>
      <c r="G160" s="11">
        <v>20.5</v>
      </c>
      <c r="H160" s="11">
        <v>8.75</v>
      </c>
      <c r="I160" s="11">
        <v>7.55</v>
      </c>
      <c r="J160" s="11">
        <v>378</v>
      </c>
      <c r="K160" s="11">
        <v>1</v>
      </c>
      <c r="L160" s="11">
        <v>1.45</v>
      </c>
      <c r="M160" s="11">
        <v>53</v>
      </c>
      <c r="N160" s="11">
        <v>335</v>
      </c>
      <c r="O160" s="9">
        <v>0</v>
      </c>
      <c r="P160" s="9">
        <v>0</v>
      </c>
      <c r="Q160" s="9">
        <v>0</v>
      </c>
      <c r="R160" s="9">
        <v>63.3333333333333</v>
      </c>
      <c r="S160" s="9">
        <v>0</v>
      </c>
      <c r="T160" s="9">
        <v>7.0370370370370301</v>
      </c>
      <c r="U160" t="s">
        <v>502</v>
      </c>
    </row>
    <row r="161" spans="1:21" x14ac:dyDescent="0.3">
      <c r="A161" s="1">
        <v>3868</v>
      </c>
      <c r="B161" s="3" t="s">
        <v>197</v>
      </c>
      <c r="C161" s="1" t="s">
        <v>366</v>
      </c>
      <c r="D161" s="1">
        <v>2023</v>
      </c>
      <c r="E161" s="1" t="s">
        <v>190</v>
      </c>
      <c r="F161" s="1" t="s">
        <v>40</v>
      </c>
      <c r="G161" s="11">
        <v>7</v>
      </c>
      <c r="H161" s="11">
        <v>8.1999999999999993</v>
      </c>
      <c r="I161" s="11">
        <v>7.4</v>
      </c>
      <c r="J161" s="11">
        <v>78</v>
      </c>
      <c r="K161" s="11">
        <v>1</v>
      </c>
      <c r="L161" s="11">
        <v>0.5</v>
      </c>
      <c r="M161" s="11">
        <v>39.5</v>
      </c>
      <c r="N161" s="11">
        <v>169</v>
      </c>
      <c r="O161" s="9">
        <v>0</v>
      </c>
      <c r="P161" s="9">
        <v>0</v>
      </c>
      <c r="Q161" s="9">
        <v>0</v>
      </c>
      <c r="R161" s="9">
        <v>26.4444444444444</v>
      </c>
      <c r="S161" s="9">
        <v>0</v>
      </c>
      <c r="T161" s="9">
        <v>2.93827160493827</v>
      </c>
      <c r="U161" t="s">
        <v>502</v>
      </c>
    </row>
    <row r="162" spans="1:21" x14ac:dyDescent="0.3">
      <c r="A162" s="1">
        <v>3881</v>
      </c>
      <c r="B162" s="2" t="s">
        <v>333</v>
      </c>
      <c r="C162" s="1" t="s">
        <v>334</v>
      </c>
      <c r="D162" s="1">
        <v>2023</v>
      </c>
      <c r="E162" s="1" t="s">
        <v>190</v>
      </c>
      <c r="F162" s="1" t="s">
        <v>40</v>
      </c>
      <c r="G162" s="11">
        <v>20</v>
      </c>
      <c r="H162" s="11">
        <v>5</v>
      </c>
      <c r="I162" s="11">
        <v>7.8</v>
      </c>
      <c r="J162" s="11">
        <v>2904</v>
      </c>
      <c r="K162" s="11">
        <v>10.5</v>
      </c>
      <c r="L162" s="11">
        <v>6.05</v>
      </c>
      <c r="M162" s="11">
        <v>801</v>
      </c>
      <c r="N162" s="11">
        <v>813</v>
      </c>
      <c r="O162" s="9">
        <v>16.6666666666666</v>
      </c>
      <c r="P162" s="9">
        <v>100</v>
      </c>
      <c r="Q162" s="9">
        <v>0</v>
      </c>
      <c r="R162" s="9">
        <v>100</v>
      </c>
      <c r="S162" s="9">
        <v>100</v>
      </c>
      <c r="T162" s="9">
        <v>50</v>
      </c>
      <c r="U162" t="s">
        <v>501</v>
      </c>
    </row>
    <row r="163" spans="1:21" x14ac:dyDescent="0.3">
      <c r="A163" s="1">
        <v>3879</v>
      </c>
      <c r="B163" s="3" t="s">
        <v>335</v>
      </c>
      <c r="C163" s="1" t="s">
        <v>334</v>
      </c>
      <c r="D163" s="1">
        <v>2023</v>
      </c>
      <c r="E163" s="1" t="s">
        <v>190</v>
      </c>
      <c r="F163" s="1" t="s">
        <v>40</v>
      </c>
      <c r="G163" s="11">
        <v>18.5</v>
      </c>
      <c r="H163" s="11">
        <v>3.25</v>
      </c>
      <c r="I163" s="11">
        <v>7.6</v>
      </c>
      <c r="J163" s="11">
        <v>4100</v>
      </c>
      <c r="K163" s="11">
        <v>45.6</v>
      </c>
      <c r="L163" s="11">
        <v>3.9</v>
      </c>
      <c r="M163" s="11">
        <v>803.5</v>
      </c>
      <c r="N163" s="11">
        <v>865</v>
      </c>
      <c r="O163" s="9">
        <v>45.8333333333333</v>
      </c>
      <c r="P163" s="9">
        <v>100</v>
      </c>
      <c r="Q163" s="9">
        <v>0</v>
      </c>
      <c r="R163" s="9">
        <v>100</v>
      </c>
      <c r="S163" s="9">
        <v>100</v>
      </c>
      <c r="T163" s="9">
        <v>59.7222222222222</v>
      </c>
      <c r="U163" t="s">
        <v>501</v>
      </c>
    </row>
    <row r="164" spans="1:21" x14ac:dyDescent="0.3">
      <c r="A164" s="1">
        <v>4425</v>
      </c>
      <c r="B164" s="2" t="s">
        <v>200</v>
      </c>
      <c r="C164" s="1" t="s">
        <v>366</v>
      </c>
      <c r="D164" s="1">
        <v>2023</v>
      </c>
      <c r="E164" s="1" t="s">
        <v>190</v>
      </c>
      <c r="F164" s="1" t="s">
        <v>40</v>
      </c>
      <c r="G164" s="11">
        <v>11.5</v>
      </c>
      <c r="H164" s="11">
        <v>8.5</v>
      </c>
      <c r="I164" s="11">
        <v>7.9</v>
      </c>
      <c r="J164" s="11">
        <v>166.5</v>
      </c>
      <c r="K164" s="11">
        <v>1</v>
      </c>
      <c r="L164" s="11">
        <v>2.15</v>
      </c>
      <c r="M164" s="11">
        <v>38.5</v>
      </c>
      <c r="N164" s="11">
        <v>813</v>
      </c>
      <c r="O164" s="9">
        <v>0</v>
      </c>
      <c r="P164" s="9">
        <v>0</v>
      </c>
      <c r="Q164" s="9">
        <v>0</v>
      </c>
      <c r="R164" s="9">
        <v>100</v>
      </c>
      <c r="S164" s="9">
        <v>0</v>
      </c>
      <c r="T164" s="9">
        <v>11.1111111111111</v>
      </c>
      <c r="U164" t="s">
        <v>500</v>
      </c>
    </row>
    <row r="165" spans="1:21" x14ac:dyDescent="0.3">
      <c r="A165" s="1">
        <v>4463</v>
      </c>
      <c r="B165" s="3" t="s">
        <v>336</v>
      </c>
      <c r="C165" s="1" t="s">
        <v>337</v>
      </c>
      <c r="D165" s="1">
        <v>2023</v>
      </c>
      <c r="E165" s="1" t="s">
        <v>190</v>
      </c>
      <c r="F165" s="1" t="s">
        <v>40</v>
      </c>
      <c r="G165" s="11">
        <v>14</v>
      </c>
      <c r="H165" s="11">
        <v>7.6499999999999897</v>
      </c>
      <c r="I165" s="11">
        <v>8.15</v>
      </c>
      <c r="J165" s="11">
        <v>440</v>
      </c>
      <c r="K165" s="11">
        <v>1</v>
      </c>
      <c r="L165" s="11">
        <v>1.25</v>
      </c>
      <c r="M165" s="11">
        <v>24</v>
      </c>
      <c r="N165" s="11">
        <v>810</v>
      </c>
      <c r="O165" s="9">
        <v>0</v>
      </c>
      <c r="P165" s="9">
        <v>0</v>
      </c>
      <c r="Q165" s="9">
        <v>0</v>
      </c>
      <c r="R165" s="9">
        <v>100</v>
      </c>
      <c r="S165" s="9">
        <v>0</v>
      </c>
      <c r="T165" s="9">
        <v>11.1111111111111</v>
      </c>
      <c r="U165" t="s">
        <v>500</v>
      </c>
    </row>
    <row r="166" spans="1:21" x14ac:dyDescent="0.3">
      <c r="A166" s="1">
        <v>4474</v>
      </c>
      <c r="B166" s="2" t="s">
        <v>338</v>
      </c>
      <c r="C166" s="1" t="s">
        <v>339</v>
      </c>
      <c r="D166" s="1">
        <v>2023</v>
      </c>
      <c r="E166" s="1" t="s">
        <v>190</v>
      </c>
      <c r="F166" s="1" t="s">
        <v>40</v>
      </c>
      <c r="G166" s="11">
        <v>10.5</v>
      </c>
      <c r="H166" s="11">
        <v>9.5</v>
      </c>
      <c r="I166" s="11">
        <v>7.95</v>
      </c>
      <c r="J166" s="11">
        <v>222</v>
      </c>
      <c r="K166" s="11">
        <v>1</v>
      </c>
      <c r="L166" s="11">
        <v>0.89999999999999902</v>
      </c>
      <c r="M166" s="11">
        <v>86</v>
      </c>
      <c r="N166" s="11">
        <v>803.5</v>
      </c>
      <c r="O166" s="9">
        <v>0</v>
      </c>
      <c r="P166" s="9">
        <v>0</v>
      </c>
      <c r="Q166" s="9">
        <v>0</v>
      </c>
      <c r="R166" s="9">
        <v>100</v>
      </c>
      <c r="S166" s="9">
        <v>0</v>
      </c>
      <c r="T166" s="9">
        <v>11.1111111111111</v>
      </c>
      <c r="U166" t="s">
        <v>500</v>
      </c>
    </row>
    <row r="167" spans="1:21" x14ac:dyDescent="0.3">
      <c r="A167" s="1">
        <v>4481</v>
      </c>
      <c r="B167" s="3" t="s">
        <v>340</v>
      </c>
      <c r="C167" s="1" t="s">
        <v>341</v>
      </c>
      <c r="D167" s="1">
        <v>2023</v>
      </c>
      <c r="E167" s="1" t="s">
        <v>190</v>
      </c>
      <c r="F167" s="1" t="s">
        <v>40</v>
      </c>
      <c r="G167" s="11">
        <v>23.5</v>
      </c>
      <c r="H167" s="11">
        <v>8.0500000000000007</v>
      </c>
      <c r="I167" s="11">
        <v>7.25</v>
      </c>
      <c r="J167" s="11">
        <v>479</v>
      </c>
      <c r="K167" s="11">
        <v>1.65</v>
      </c>
      <c r="L167" s="11">
        <v>4.4000000000000004</v>
      </c>
      <c r="M167" s="11">
        <v>4</v>
      </c>
      <c r="N167" s="11">
        <v>34</v>
      </c>
      <c r="O167" s="9">
        <v>0</v>
      </c>
      <c r="P167" s="9">
        <v>0</v>
      </c>
      <c r="Q167" s="9">
        <v>0</v>
      </c>
      <c r="R167" s="9">
        <v>0</v>
      </c>
      <c r="S167" s="9">
        <v>0</v>
      </c>
      <c r="T167" s="9">
        <v>0</v>
      </c>
      <c r="U167" t="s">
        <v>500</v>
      </c>
    </row>
    <row r="168" spans="1:21" x14ac:dyDescent="0.3">
      <c r="A168" s="1">
        <v>5253</v>
      </c>
      <c r="B168" s="2" t="s">
        <v>342</v>
      </c>
      <c r="C168" s="1" t="s">
        <v>343</v>
      </c>
      <c r="D168" s="1">
        <v>2023</v>
      </c>
      <c r="E168" s="1" t="s">
        <v>190</v>
      </c>
      <c r="F168" s="1" t="s">
        <v>40</v>
      </c>
      <c r="G168" s="11">
        <v>11.5</v>
      </c>
      <c r="H168" s="11">
        <v>7.8</v>
      </c>
      <c r="I168" s="11">
        <v>7.8</v>
      </c>
      <c r="J168" s="11">
        <v>107.5</v>
      </c>
      <c r="K168" s="11">
        <v>1</v>
      </c>
      <c r="L168" s="11">
        <v>0.5</v>
      </c>
      <c r="M168" s="11">
        <v>62.5</v>
      </c>
      <c r="N168" s="11">
        <v>340</v>
      </c>
      <c r="O168" s="9">
        <v>0</v>
      </c>
      <c r="P168" s="9">
        <v>0</v>
      </c>
      <c r="Q168" s="9">
        <v>0</v>
      </c>
      <c r="R168" s="9">
        <v>64.4444444444444</v>
      </c>
      <c r="S168" s="9">
        <v>0</v>
      </c>
      <c r="T168" s="9">
        <v>7.1604938271604901</v>
      </c>
      <c r="U168" t="s">
        <v>500</v>
      </c>
    </row>
    <row r="169" spans="1:21" x14ac:dyDescent="0.3">
      <c r="A169" s="1">
        <v>4426</v>
      </c>
      <c r="B169" s="3" t="s">
        <v>205</v>
      </c>
      <c r="C169" s="1" t="s">
        <v>366</v>
      </c>
      <c r="D169" s="1">
        <v>2023</v>
      </c>
      <c r="E169" s="1" t="s">
        <v>190</v>
      </c>
      <c r="F169" s="1" t="s">
        <v>40</v>
      </c>
      <c r="G169" s="11">
        <v>11</v>
      </c>
      <c r="H169" s="11">
        <v>8.4499999999999993</v>
      </c>
      <c r="I169" s="11">
        <v>7.95</v>
      </c>
      <c r="J169" s="11">
        <v>124</v>
      </c>
      <c r="K169" s="11">
        <v>1</v>
      </c>
      <c r="L169" s="11">
        <v>0.65</v>
      </c>
      <c r="M169" s="11">
        <v>66</v>
      </c>
      <c r="N169" s="11">
        <v>801</v>
      </c>
      <c r="O169" s="9">
        <v>0</v>
      </c>
      <c r="P169" s="9">
        <v>0</v>
      </c>
      <c r="Q169" s="9">
        <v>0</v>
      </c>
      <c r="R169" s="9">
        <v>100</v>
      </c>
      <c r="S169" s="9">
        <v>0</v>
      </c>
      <c r="T169" s="9">
        <v>11.1111111111111</v>
      </c>
      <c r="U169" t="s">
        <v>500</v>
      </c>
    </row>
    <row r="170" spans="1:21" x14ac:dyDescent="0.3">
      <c r="A170" s="1">
        <v>4454</v>
      </c>
      <c r="B170" s="2" t="s">
        <v>206</v>
      </c>
      <c r="C170" s="1" t="s">
        <v>366</v>
      </c>
      <c r="D170" s="1">
        <v>2023</v>
      </c>
      <c r="E170" s="1" t="s">
        <v>190</v>
      </c>
      <c r="F170" s="1" t="s">
        <v>40</v>
      </c>
      <c r="G170" s="11">
        <v>11.5</v>
      </c>
      <c r="H170" s="11">
        <v>9.1</v>
      </c>
      <c r="I170" s="11">
        <v>7.9</v>
      </c>
      <c r="J170" s="11">
        <v>297.5</v>
      </c>
      <c r="K170" s="11">
        <v>1</v>
      </c>
      <c r="L170" s="11">
        <v>2.85</v>
      </c>
      <c r="M170" s="11">
        <v>11</v>
      </c>
      <c r="N170" s="11">
        <v>1761.5</v>
      </c>
      <c r="O170" s="9">
        <v>0</v>
      </c>
      <c r="P170" s="9">
        <v>0</v>
      </c>
      <c r="Q170" s="9">
        <v>0</v>
      </c>
      <c r="R170" s="9">
        <v>100</v>
      </c>
      <c r="S170" s="9">
        <v>0</v>
      </c>
      <c r="T170" s="9">
        <v>11.1111111111111</v>
      </c>
      <c r="U170" t="s">
        <v>500</v>
      </c>
    </row>
    <row r="171" spans="1:21" x14ac:dyDescent="0.3">
      <c r="A171" s="1">
        <v>4466</v>
      </c>
      <c r="B171" s="3" t="s">
        <v>207</v>
      </c>
      <c r="C171" s="1" t="s">
        <v>366</v>
      </c>
      <c r="D171" s="1">
        <v>2023</v>
      </c>
      <c r="E171" s="1" t="s">
        <v>190</v>
      </c>
      <c r="F171" s="1" t="s">
        <v>40</v>
      </c>
      <c r="G171" s="11">
        <v>11.5</v>
      </c>
      <c r="H171" s="11">
        <v>9.1</v>
      </c>
      <c r="I171" s="11">
        <v>7.95</v>
      </c>
      <c r="J171" s="11">
        <v>318</v>
      </c>
      <c r="K171" s="11">
        <v>1</v>
      </c>
      <c r="L171" s="11">
        <v>2.2999999999999998</v>
      </c>
      <c r="M171" s="11">
        <v>11</v>
      </c>
      <c r="N171" s="11">
        <v>1766.5</v>
      </c>
      <c r="O171" s="9">
        <v>0</v>
      </c>
      <c r="P171" s="9">
        <v>0</v>
      </c>
      <c r="Q171" s="9">
        <v>0</v>
      </c>
      <c r="R171" s="9">
        <v>100</v>
      </c>
      <c r="S171" s="9">
        <v>0</v>
      </c>
      <c r="T171" s="9">
        <v>11.1111111111111</v>
      </c>
      <c r="U171" t="s">
        <v>500</v>
      </c>
    </row>
    <row r="172" spans="1:21" x14ac:dyDescent="0.3">
      <c r="A172" s="1">
        <v>5257</v>
      </c>
      <c r="B172" s="2" t="s">
        <v>345</v>
      </c>
      <c r="C172" s="1" t="s">
        <v>344</v>
      </c>
      <c r="D172" s="1">
        <v>2023</v>
      </c>
      <c r="E172" s="1" t="s">
        <v>190</v>
      </c>
      <c r="F172" s="1" t="s">
        <v>40</v>
      </c>
      <c r="G172" s="11">
        <v>13</v>
      </c>
      <c r="H172" s="11">
        <v>8.8000000000000007</v>
      </c>
      <c r="I172" s="11">
        <v>7.55</v>
      </c>
      <c r="J172" s="11">
        <v>203.5</v>
      </c>
      <c r="K172" s="11">
        <v>1</v>
      </c>
      <c r="L172" s="11">
        <v>1.25</v>
      </c>
      <c r="M172" s="11">
        <v>12</v>
      </c>
      <c r="N172" s="11">
        <v>823.5</v>
      </c>
      <c r="O172" s="9">
        <v>0</v>
      </c>
      <c r="P172" s="9">
        <v>0</v>
      </c>
      <c r="Q172" s="9">
        <v>0</v>
      </c>
      <c r="R172" s="9">
        <v>100</v>
      </c>
      <c r="S172" s="9">
        <v>0</v>
      </c>
      <c r="T172" s="9">
        <v>11.1111111111111</v>
      </c>
      <c r="U172" t="s">
        <v>500</v>
      </c>
    </row>
    <row r="173" spans="1:21" x14ac:dyDescent="0.3">
      <c r="A173" s="1">
        <v>4477</v>
      </c>
      <c r="B173" s="3" t="s">
        <v>209</v>
      </c>
      <c r="C173" s="1" t="s">
        <v>366</v>
      </c>
      <c r="D173" s="1">
        <v>2023</v>
      </c>
      <c r="E173" s="1" t="s">
        <v>190</v>
      </c>
      <c r="F173" s="1" t="s">
        <v>40</v>
      </c>
      <c r="G173" s="11">
        <v>10</v>
      </c>
      <c r="H173" s="11">
        <v>8.3000000000000007</v>
      </c>
      <c r="I173" s="11">
        <v>7.6</v>
      </c>
      <c r="J173" s="11">
        <v>148.5</v>
      </c>
      <c r="K173" s="11">
        <v>1</v>
      </c>
      <c r="L173" s="11">
        <v>1.5999999999999901</v>
      </c>
      <c r="M173" s="11">
        <v>71</v>
      </c>
      <c r="N173" s="11">
        <v>530</v>
      </c>
      <c r="O173" s="9">
        <v>0</v>
      </c>
      <c r="P173" s="9">
        <v>0</v>
      </c>
      <c r="Q173" s="9">
        <v>0</v>
      </c>
      <c r="R173" s="9">
        <v>100</v>
      </c>
      <c r="S173" s="9">
        <v>0</v>
      </c>
      <c r="T173" s="9">
        <v>11.1111111111111</v>
      </c>
      <c r="U173" t="s">
        <v>500</v>
      </c>
    </row>
    <row r="174" spans="1:21" x14ac:dyDescent="0.3">
      <c r="A174" s="1">
        <v>4455</v>
      </c>
      <c r="B174" s="2" t="s">
        <v>210</v>
      </c>
      <c r="C174" s="1" t="s">
        <v>366</v>
      </c>
      <c r="D174" s="1">
        <v>2023</v>
      </c>
      <c r="E174" s="1" t="s">
        <v>190</v>
      </c>
      <c r="F174" s="1" t="s">
        <v>40</v>
      </c>
      <c r="G174" s="11">
        <v>10.5</v>
      </c>
      <c r="H174" s="11">
        <v>9.25</v>
      </c>
      <c r="I174" s="11">
        <v>7.6</v>
      </c>
      <c r="J174" s="11">
        <v>286.5</v>
      </c>
      <c r="K174" s="11">
        <v>1</v>
      </c>
      <c r="L174" s="11">
        <v>1</v>
      </c>
      <c r="M174" s="11">
        <v>21</v>
      </c>
      <c r="N174" s="11">
        <v>1797</v>
      </c>
      <c r="O174" s="9">
        <v>0</v>
      </c>
      <c r="P174" s="9">
        <v>0</v>
      </c>
      <c r="Q174" s="9">
        <v>0</v>
      </c>
      <c r="R174" s="9">
        <v>100</v>
      </c>
      <c r="S174" s="9">
        <v>0</v>
      </c>
      <c r="T174" s="9">
        <v>11.1111111111111</v>
      </c>
      <c r="U174" t="s">
        <v>500</v>
      </c>
    </row>
    <row r="175" spans="1:21" x14ac:dyDescent="0.3">
      <c r="A175" s="1">
        <v>4482</v>
      </c>
      <c r="B175" s="3" t="s">
        <v>211</v>
      </c>
      <c r="C175" s="1" t="s">
        <v>366</v>
      </c>
      <c r="D175" s="1">
        <v>2023</v>
      </c>
      <c r="E175" s="1" t="s">
        <v>190</v>
      </c>
      <c r="F175" s="1" t="s">
        <v>40</v>
      </c>
      <c r="G175" s="11">
        <v>23.5</v>
      </c>
      <c r="H175" s="11">
        <v>8</v>
      </c>
      <c r="I175" s="11">
        <v>7.3</v>
      </c>
      <c r="J175" s="11">
        <v>500.5</v>
      </c>
      <c r="K175" s="11">
        <v>1.55</v>
      </c>
      <c r="L175" s="11">
        <v>0.95</v>
      </c>
      <c r="M175" s="11">
        <v>3</v>
      </c>
      <c r="N175" s="11">
        <v>43.5</v>
      </c>
      <c r="O175" s="9">
        <v>0</v>
      </c>
      <c r="P175" s="9">
        <v>0</v>
      </c>
      <c r="Q175" s="9">
        <v>0</v>
      </c>
      <c r="R175" s="9">
        <v>0</v>
      </c>
      <c r="S175" s="9">
        <v>3.3333333333333298E-2</v>
      </c>
      <c r="T175" s="9">
        <v>3.7037037037036999E-3</v>
      </c>
      <c r="U175" t="s">
        <v>500</v>
      </c>
    </row>
    <row r="176" spans="1:21" x14ac:dyDescent="0.3">
      <c r="A176" s="1">
        <v>4036</v>
      </c>
      <c r="B176" s="2" t="s">
        <v>347</v>
      </c>
      <c r="C176" s="1" t="s">
        <v>346</v>
      </c>
      <c r="D176" s="1">
        <v>2023</v>
      </c>
      <c r="E176" s="1" t="s">
        <v>190</v>
      </c>
      <c r="F176" s="1" t="s">
        <v>40</v>
      </c>
      <c r="G176" s="11">
        <v>12.5</v>
      </c>
      <c r="H176" s="11">
        <v>7.6</v>
      </c>
      <c r="I176" s="11">
        <v>8.15</v>
      </c>
      <c r="J176" s="11">
        <v>1935.5</v>
      </c>
      <c r="K176" s="11">
        <v>1.4</v>
      </c>
      <c r="L176" s="11">
        <v>3.25</v>
      </c>
      <c r="M176" s="11">
        <v>7</v>
      </c>
      <c r="N176" s="11">
        <v>185.5</v>
      </c>
      <c r="O176" s="9">
        <v>0</v>
      </c>
      <c r="P176" s="9">
        <v>0</v>
      </c>
      <c r="Q176" s="9">
        <v>0</v>
      </c>
      <c r="R176" s="9">
        <v>30.1111111111111</v>
      </c>
      <c r="S176" s="9">
        <v>95.7</v>
      </c>
      <c r="T176" s="9">
        <v>13.979012345678999</v>
      </c>
      <c r="U176" t="s">
        <v>500</v>
      </c>
    </row>
    <row r="177" spans="1:21" x14ac:dyDescent="0.3">
      <c r="A177" s="1">
        <v>4430</v>
      </c>
      <c r="B177" s="3" t="s">
        <v>348</v>
      </c>
      <c r="C177" s="1" t="s">
        <v>349</v>
      </c>
      <c r="D177" s="1">
        <v>2023</v>
      </c>
      <c r="E177" s="1" t="s">
        <v>190</v>
      </c>
      <c r="F177" s="1" t="s">
        <v>40</v>
      </c>
      <c r="G177" s="11">
        <v>16</v>
      </c>
      <c r="H177" s="11">
        <v>7.25</v>
      </c>
      <c r="I177" s="11">
        <v>7.1</v>
      </c>
      <c r="J177" s="11">
        <v>455.5</v>
      </c>
      <c r="K177" s="11">
        <v>6.75</v>
      </c>
      <c r="L177" s="11">
        <v>3.6</v>
      </c>
      <c r="M177" s="11">
        <v>183.5</v>
      </c>
      <c r="N177" s="11">
        <v>1070</v>
      </c>
      <c r="O177" s="9">
        <v>0</v>
      </c>
      <c r="P177" s="9">
        <v>100</v>
      </c>
      <c r="Q177" s="9">
        <v>0</v>
      </c>
      <c r="R177" s="9">
        <v>100</v>
      </c>
      <c r="S177" s="9">
        <v>0</v>
      </c>
      <c r="T177" s="9">
        <v>33.3333333333333</v>
      </c>
      <c r="U177" t="s">
        <v>500</v>
      </c>
    </row>
    <row r="178" spans="1:21" x14ac:dyDescent="0.3">
      <c r="A178" s="1">
        <v>4475</v>
      </c>
      <c r="B178" s="2" t="s">
        <v>350</v>
      </c>
      <c r="C178" s="1" t="s">
        <v>351</v>
      </c>
      <c r="D178" s="1">
        <v>2023</v>
      </c>
      <c r="E178" s="1" t="s">
        <v>190</v>
      </c>
      <c r="F178" s="1" t="s">
        <v>40</v>
      </c>
      <c r="G178" s="11">
        <v>10.5</v>
      </c>
      <c r="H178" s="11">
        <v>9.5</v>
      </c>
      <c r="I178" s="11">
        <v>7.9</v>
      </c>
      <c r="J178" s="11">
        <v>237.5</v>
      </c>
      <c r="K178" s="11">
        <v>1</v>
      </c>
      <c r="L178" s="11">
        <v>1.2999999999999901</v>
      </c>
      <c r="M178" s="11">
        <v>88.5</v>
      </c>
      <c r="N178" s="11">
        <v>810.5</v>
      </c>
      <c r="O178" s="9">
        <v>0</v>
      </c>
      <c r="P178" s="9">
        <v>0</v>
      </c>
      <c r="Q178" s="9">
        <v>0</v>
      </c>
      <c r="R178" s="9">
        <v>100</v>
      </c>
      <c r="S178" s="9">
        <v>0</v>
      </c>
      <c r="T178" s="9">
        <v>11.1111111111111</v>
      </c>
      <c r="U178" t="s">
        <v>500</v>
      </c>
    </row>
    <row r="179" spans="1:21" x14ac:dyDescent="0.3">
      <c r="A179" s="1">
        <v>4476</v>
      </c>
      <c r="B179" s="3" t="s">
        <v>352</v>
      </c>
      <c r="C179" s="1" t="s">
        <v>353</v>
      </c>
      <c r="D179" s="1">
        <v>2023</v>
      </c>
      <c r="E179" s="1" t="s">
        <v>190</v>
      </c>
      <c r="F179" s="1" t="s">
        <v>40</v>
      </c>
      <c r="G179" s="11">
        <v>7.5</v>
      </c>
      <c r="H179" s="11">
        <v>8.6</v>
      </c>
      <c r="I179" s="11">
        <v>7.55</v>
      </c>
      <c r="J179" s="11">
        <v>54.5</v>
      </c>
      <c r="K179" s="11">
        <v>1</v>
      </c>
      <c r="L179" s="11">
        <v>0.5</v>
      </c>
      <c r="M179" s="11">
        <v>83</v>
      </c>
      <c r="N179" s="11">
        <v>312</v>
      </c>
      <c r="O179" s="9">
        <v>0</v>
      </c>
      <c r="P179" s="9">
        <v>0</v>
      </c>
      <c r="Q179" s="9">
        <v>0</v>
      </c>
      <c r="R179" s="9">
        <v>58.2222222222222</v>
      </c>
      <c r="S179" s="9">
        <v>0</v>
      </c>
      <c r="T179" s="9">
        <v>6.4691358024691299</v>
      </c>
      <c r="U179" t="s">
        <v>500</v>
      </c>
    </row>
    <row r="180" spans="1:21" x14ac:dyDescent="0.3">
      <c r="A180" s="1">
        <v>4034</v>
      </c>
      <c r="B180" s="2" t="s">
        <v>216</v>
      </c>
      <c r="C180" s="1" t="s">
        <v>366</v>
      </c>
      <c r="D180" s="1">
        <v>2023</v>
      </c>
      <c r="E180" s="1" t="s">
        <v>190</v>
      </c>
      <c r="F180" s="1" t="s">
        <v>40</v>
      </c>
      <c r="G180" s="11">
        <v>11.5</v>
      </c>
      <c r="H180" s="11">
        <v>9.25</v>
      </c>
      <c r="I180" s="11">
        <v>7.8999999999999897</v>
      </c>
      <c r="J180" s="11">
        <v>208</v>
      </c>
      <c r="K180" s="11">
        <v>1</v>
      </c>
      <c r="L180" s="11">
        <v>1.8</v>
      </c>
      <c r="M180" s="11">
        <v>35</v>
      </c>
      <c r="N180" s="11">
        <v>2747</v>
      </c>
      <c r="O180" s="9">
        <v>0</v>
      </c>
      <c r="P180" s="9">
        <v>0</v>
      </c>
      <c r="Q180" s="9">
        <v>0</v>
      </c>
      <c r="R180" s="9">
        <v>100</v>
      </c>
      <c r="S180" s="9">
        <v>0</v>
      </c>
      <c r="T180" s="9">
        <v>11.1111111111111</v>
      </c>
      <c r="U180" t="s">
        <v>500</v>
      </c>
    </row>
    <row r="181" spans="1:21" x14ac:dyDescent="0.3">
      <c r="A181" s="1">
        <v>4035</v>
      </c>
      <c r="B181" s="3" t="s">
        <v>217</v>
      </c>
      <c r="C181" s="1" t="s">
        <v>366</v>
      </c>
      <c r="D181" s="1">
        <v>2023</v>
      </c>
      <c r="E181" s="1" t="s">
        <v>190</v>
      </c>
      <c r="F181" s="1" t="s">
        <v>40</v>
      </c>
      <c r="G181" s="11">
        <v>11</v>
      </c>
      <c r="H181" s="11">
        <v>9.1</v>
      </c>
      <c r="I181" s="11">
        <v>7.85</v>
      </c>
      <c r="J181" s="11">
        <v>210.5</v>
      </c>
      <c r="K181" s="11">
        <v>1</v>
      </c>
      <c r="L181" s="11">
        <v>1.6</v>
      </c>
      <c r="M181" s="11">
        <v>47.5</v>
      </c>
      <c r="N181" s="11">
        <v>4631.5</v>
      </c>
      <c r="O181" s="9">
        <v>0</v>
      </c>
      <c r="P181" s="9">
        <v>0</v>
      </c>
      <c r="Q181" s="9">
        <v>0</v>
      </c>
      <c r="R181" s="9">
        <v>100</v>
      </c>
      <c r="S181" s="9">
        <v>0</v>
      </c>
      <c r="T181" s="9">
        <v>11.1111111111111</v>
      </c>
      <c r="U181" t="s">
        <v>500</v>
      </c>
    </row>
    <row r="182" spans="1:21" x14ac:dyDescent="0.3">
      <c r="A182" s="1">
        <v>4462</v>
      </c>
      <c r="B182" s="2" t="s">
        <v>218</v>
      </c>
      <c r="C182" s="1" t="s">
        <v>366</v>
      </c>
      <c r="D182" s="1">
        <v>2023</v>
      </c>
      <c r="E182" s="1" t="s">
        <v>190</v>
      </c>
      <c r="F182" s="1" t="s">
        <v>40</v>
      </c>
      <c r="G182" s="11">
        <v>14</v>
      </c>
      <c r="H182" s="11">
        <v>7.6</v>
      </c>
      <c r="I182" s="11">
        <v>8</v>
      </c>
      <c r="J182" s="11">
        <v>393</v>
      </c>
      <c r="K182" s="11">
        <v>1</v>
      </c>
      <c r="L182" s="11">
        <v>1.45</v>
      </c>
      <c r="M182" s="11">
        <v>19.5</v>
      </c>
      <c r="N182" s="11">
        <v>813</v>
      </c>
      <c r="O182" s="9">
        <v>0</v>
      </c>
      <c r="P182" s="9">
        <v>0</v>
      </c>
      <c r="Q182" s="9">
        <v>0</v>
      </c>
      <c r="R182" s="9">
        <v>100</v>
      </c>
      <c r="S182" s="9">
        <v>0</v>
      </c>
      <c r="T182" s="9">
        <v>11.1111111111111</v>
      </c>
      <c r="U182" t="s">
        <v>500</v>
      </c>
    </row>
    <row r="183" spans="1:21" x14ac:dyDescent="0.3">
      <c r="A183" s="1">
        <v>3867</v>
      </c>
      <c r="B183" s="3" t="s">
        <v>219</v>
      </c>
      <c r="C183" s="1" t="s">
        <v>366</v>
      </c>
      <c r="D183" s="1">
        <v>2023</v>
      </c>
      <c r="E183" s="1" t="s">
        <v>190</v>
      </c>
      <c r="F183" s="1" t="s">
        <v>40</v>
      </c>
      <c r="G183" s="11">
        <v>10.5</v>
      </c>
      <c r="H183" s="11">
        <v>8.0500000000000007</v>
      </c>
      <c r="I183" s="11">
        <v>7.55</v>
      </c>
      <c r="J183" s="11">
        <v>164</v>
      </c>
      <c r="K183" s="11">
        <v>1</v>
      </c>
      <c r="L183" s="11">
        <v>0.95</v>
      </c>
      <c r="M183" s="11">
        <v>86</v>
      </c>
      <c r="N183" s="11">
        <v>309.5</v>
      </c>
      <c r="O183" s="9">
        <v>0</v>
      </c>
      <c r="P183" s="9">
        <v>0</v>
      </c>
      <c r="Q183" s="9">
        <v>0</v>
      </c>
      <c r="R183" s="9">
        <v>57.6666666666666</v>
      </c>
      <c r="S183" s="9">
        <v>0</v>
      </c>
      <c r="T183" s="9">
        <v>6.4074074074074003</v>
      </c>
      <c r="U183" t="s">
        <v>500</v>
      </c>
    </row>
    <row r="184" spans="1:21" x14ac:dyDescent="0.3">
      <c r="A184" s="1">
        <v>1870</v>
      </c>
      <c r="B184" s="2" t="s">
        <v>354</v>
      </c>
      <c r="C184" s="1" t="s">
        <v>355</v>
      </c>
      <c r="D184" s="1">
        <v>2023</v>
      </c>
      <c r="E184" s="1" t="s">
        <v>190</v>
      </c>
      <c r="F184" s="1" t="s">
        <v>40</v>
      </c>
      <c r="G184" s="11">
        <v>9.5</v>
      </c>
      <c r="H184" s="11">
        <v>6.5</v>
      </c>
      <c r="I184" s="11">
        <v>7.85</v>
      </c>
      <c r="J184" s="11">
        <v>768.5</v>
      </c>
      <c r="K184" s="11">
        <v>13.5</v>
      </c>
      <c r="L184" s="11">
        <v>8.1</v>
      </c>
      <c r="M184" s="11">
        <v>801</v>
      </c>
      <c r="N184" s="11">
        <v>810.5</v>
      </c>
      <c r="O184" s="9">
        <v>0</v>
      </c>
      <c r="P184" s="9">
        <v>100</v>
      </c>
      <c r="Q184" s="9">
        <v>0</v>
      </c>
      <c r="R184" s="9">
        <v>100</v>
      </c>
      <c r="S184" s="9">
        <v>17.899999999999999</v>
      </c>
      <c r="T184" s="9">
        <v>35.322222222222202</v>
      </c>
      <c r="U184" t="s">
        <v>500</v>
      </c>
    </row>
    <row r="185" spans="1:21" x14ac:dyDescent="0.3">
      <c r="A185" s="1">
        <v>3875</v>
      </c>
      <c r="B185" s="3" t="s">
        <v>221</v>
      </c>
      <c r="C185" s="1" t="s">
        <v>366</v>
      </c>
      <c r="D185" s="1">
        <v>2023</v>
      </c>
      <c r="E185" s="1" t="s">
        <v>190</v>
      </c>
      <c r="F185" s="1" t="s">
        <v>40</v>
      </c>
      <c r="G185" s="11">
        <v>8</v>
      </c>
      <c r="H185" s="11">
        <v>8</v>
      </c>
      <c r="I185" s="11">
        <v>8</v>
      </c>
      <c r="J185" s="11">
        <v>538</v>
      </c>
      <c r="K185" s="11">
        <v>4.25</v>
      </c>
      <c r="L185" s="11">
        <v>6.6</v>
      </c>
      <c r="M185" s="11">
        <v>17.5</v>
      </c>
      <c r="N185" s="11">
        <v>282</v>
      </c>
      <c r="O185" s="9">
        <v>0</v>
      </c>
      <c r="P185" s="9">
        <v>41.6666666666666</v>
      </c>
      <c r="Q185" s="9">
        <v>0</v>
      </c>
      <c r="R185" s="9">
        <v>51.5555555555555</v>
      </c>
      <c r="S185" s="9">
        <v>2.5333333333333301</v>
      </c>
      <c r="T185" s="9">
        <v>15.2691358024691</v>
      </c>
      <c r="U185" t="s">
        <v>500</v>
      </c>
    </row>
    <row r="186" spans="1:21" x14ac:dyDescent="0.3">
      <c r="A186" s="1">
        <v>4480</v>
      </c>
      <c r="B186" s="2" t="s">
        <v>222</v>
      </c>
      <c r="C186" s="1" t="s">
        <v>366</v>
      </c>
      <c r="D186" s="1">
        <v>2023</v>
      </c>
      <c r="E186" s="1" t="s">
        <v>190</v>
      </c>
      <c r="F186" s="1" t="s">
        <v>40</v>
      </c>
      <c r="G186" s="11">
        <v>7</v>
      </c>
      <c r="H186" s="11">
        <v>7.65</v>
      </c>
      <c r="I186" s="11">
        <v>8</v>
      </c>
      <c r="J186" s="11">
        <v>522.5</v>
      </c>
      <c r="K186" s="11">
        <v>1.8</v>
      </c>
      <c r="L186" s="11">
        <v>5.35</v>
      </c>
      <c r="M186" s="11">
        <v>13</v>
      </c>
      <c r="N186" s="11">
        <v>188</v>
      </c>
      <c r="O186" s="9">
        <v>0</v>
      </c>
      <c r="P186" s="9">
        <v>0</v>
      </c>
      <c r="Q186" s="9">
        <v>0</v>
      </c>
      <c r="R186" s="9">
        <v>30.6666666666666</v>
      </c>
      <c r="S186" s="9">
        <v>1.5</v>
      </c>
      <c r="T186" s="9">
        <v>3.57407407407407</v>
      </c>
      <c r="U186" t="s">
        <v>500</v>
      </c>
    </row>
    <row r="187" spans="1:21" x14ac:dyDescent="0.3">
      <c r="A187" s="1">
        <v>2789</v>
      </c>
      <c r="B187" s="3" t="s">
        <v>356</v>
      </c>
      <c r="C187" s="1" t="s">
        <v>357</v>
      </c>
      <c r="D187" s="1">
        <v>2023</v>
      </c>
      <c r="E187" s="1" t="s">
        <v>190</v>
      </c>
      <c r="F187" s="1" t="s">
        <v>224</v>
      </c>
      <c r="G187" s="11">
        <v>31</v>
      </c>
      <c r="H187" s="11">
        <v>4.8</v>
      </c>
      <c r="I187" s="11">
        <v>7.65</v>
      </c>
      <c r="J187" s="11">
        <v>1497.5</v>
      </c>
      <c r="K187" s="11">
        <v>10.1</v>
      </c>
      <c r="L187" s="11">
        <v>1.3499999999999901</v>
      </c>
      <c r="M187" s="11">
        <v>85</v>
      </c>
      <c r="N187" s="11">
        <v>525</v>
      </c>
      <c r="O187" s="9">
        <v>19.999999999999901</v>
      </c>
      <c r="P187" s="9">
        <v>100</v>
      </c>
      <c r="Q187" s="9">
        <v>0</v>
      </c>
      <c r="R187" s="9">
        <v>100</v>
      </c>
      <c r="S187" s="9">
        <v>66.5</v>
      </c>
      <c r="T187" s="9">
        <v>47.3888888888888</v>
      </c>
      <c r="U187" t="s">
        <v>501</v>
      </c>
    </row>
    <row r="188" spans="1:21" x14ac:dyDescent="0.3">
      <c r="A188" s="1">
        <v>2178</v>
      </c>
      <c r="B188" s="2" t="s">
        <v>358</v>
      </c>
      <c r="C188" s="1" t="s">
        <v>359</v>
      </c>
      <c r="D188" s="1">
        <v>2023</v>
      </c>
      <c r="E188" s="1" t="s">
        <v>190</v>
      </c>
      <c r="F188" s="1" t="s">
        <v>224</v>
      </c>
      <c r="G188" s="11">
        <v>24.5</v>
      </c>
      <c r="H188" s="11">
        <v>3.15</v>
      </c>
      <c r="I188" s="11">
        <v>7.7</v>
      </c>
      <c r="J188" s="11">
        <v>914</v>
      </c>
      <c r="K188" s="11">
        <v>10.5</v>
      </c>
      <c r="L188" s="11">
        <v>2.8</v>
      </c>
      <c r="M188" s="11">
        <v>87</v>
      </c>
      <c r="N188" s="11">
        <v>112.5</v>
      </c>
      <c r="O188" s="9">
        <v>47.5</v>
      </c>
      <c r="P188" s="9">
        <v>100</v>
      </c>
      <c r="Q188" s="9">
        <v>0</v>
      </c>
      <c r="R188" s="9">
        <v>13.8888888888888</v>
      </c>
      <c r="S188" s="9">
        <v>27.6</v>
      </c>
      <c r="T188" s="9">
        <v>42.6654320987654</v>
      </c>
      <c r="U188" t="s">
        <v>501</v>
      </c>
    </row>
    <row r="189" spans="1:21" x14ac:dyDescent="0.3">
      <c r="A189" s="1">
        <v>2790</v>
      </c>
      <c r="B189" s="3" t="s">
        <v>360</v>
      </c>
      <c r="C189" s="1" t="s">
        <v>361</v>
      </c>
      <c r="D189" s="1">
        <v>2023</v>
      </c>
      <c r="E189" s="1" t="s">
        <v>190</v>
      </c>
      <c r="F189" s="1" t="s">
        <v>224</v>
      </c>
      <c r="G189" s="11">
        <v>28.5</v>
      </c>
      <c r="H189" s="11">
        <v>7.45</v>
      </c>
      <c r="I189" s="11">
        <v>6.6</v>
      </c>
      <c r="J189" s="11">
        <v>2860.5</v>
      </c>
      <c r="K189" s="11">
        <v>2.4</v>
      </c>
      <c r="L189" s="11">
        <v>1</v>
      </c>
      <c r="M189" s="11">
        <v>8.5</v>
      </c>
      <c r="N189" s="11">
        <v>32</v>
      </c>
      <c r="O189" s="9">
        <v>0</v>
      </c>
      <c r="P189" s="9">
        <v>0</v>
      </c>
      <c r="Q189" s="9">
        <v>0</v>
      </c>
      <c r="R189" s="9">
        <v>0</v>
      </c>
      <c r="S189" s="9">
        <v>100</v>
      </c>
      <c r="T189" s="9">
        <v>11.1111111111111</v>
      </c>
      <c r="U189" t="s">
        <v>500</v>
      </c>
    </row>
    <row r="190" spans="1:21" x14ac:dyDescent="0.3">
      <c r="A190" s="1">
        <v>3923</v>
      </c>
      <c r="B190" s="2" t="s">
        <v>227</v>
      </c>
      <c r="C190" s="1" t="s">
        <v>366</v>
      </c>
      <c r="D190" s="1">
        <v>2023</v>
      </c>
      <c r="E190" s="1" t="s">
        <v>190</v>
      </c>
      <c r="F190" s="1" t="s">
        <v>228</v>
      </c>
      <c r="G190" s="11">
        <v>27</v>
      </c>
      <c r="H190" s="11">
        <v>4</v>
      </c>
      <c r="I190" s="11">
        <v>7.3</v>
      </c>
      <c r="J190" s="11">
        <v>522.5</v>
      </c>
      <c r="K190" s="11">
        <v>6.15</v>
      </c>
      <c r="L190" s="11">
        <v>5</v>
      </c>
      <c r="M190" s="11">
        <v>28650</v>
      </c>
      <c r="N190" s="11">
        <v>83950</v>
      </c>
      <c r="O190" s="9">
        <v>33.3333333333333</v>
      </c>
      <c r="P190" s="9">
        <v>100</v>
      </c>
      <c r="Q190" s="9">
        <v>0</v>
      </c>
      <c r="R190" s="9">
        <v>100</v>
      </c>
      <c r="S190" s="9">
        <v>1.5</v>
      </c>
      <c r="T190" s="9">
        <v>44.6111111111111</v>
      </c>
      <c r="U190" t="s">
        <v>501</v>
      </c>
    </row>
    <row r="191" spans="1:21" x14ac:dyDescent="0.3">
      <c r="A191" s="1">
        <v>20046</v>
      </c>
      <c r="B191" s="1" t="s">
        <v>229</v>
      </c>
      <c r="C191" s="1" t="s">
        <v>366</v>
      </c>
      <c r="D191" s="1">
        <v>2023</v>
      </c>
      <c r="E191" s="1" t="s">
        <v>230</v>
      </c>
      <c r="F191" s="1" t="s">
        <v>231</v>
      </c>
      <c r="G191" s="11">
        <v>32</v>
      </c>
      <c r="H191" s="11">
        <v>3.15</v>
      </c>
      <c r="I191" s="11">
        <v>7.3</v>
      </c>
      <c r="J191" s="11">
        <v>1460</v>
      </c>
      <c r="K191" s="11">
        <v>11</v>
      </c>
      <c r="L191" s="11">
        <v>0.65</v>
      </c>
      <c r="M191" s="11">
        <v>5501</v>
      </c>
      <c r="N191" s="11">
        <v>11001</v>
      </c>
      <c r="O191" s="9">
        <v>47.5</v>
      </c>
      <c r="P191" s="9">
        <v>100</v>
      </c>
      <c r="Q191" s="9">
        <v>0</v>
      </c>
      <c r="R191" s="9">
        <v>100</v>
      </c>
      <c r="S191" s="9">
        <v>64</v>
      </c>
      <c r="T191" s="9">
        <v>56.2777777777777</v>
      </c>
      <c r="U191" t="s">
        <v>501</v>
      </c>
    </row>
    <row r="192" spans="1:21" x14ac:dyDescent="0.3">
      <c r="A192" s="1">
        <v>3054</v>
      </c>
      <c r="B192" s="3" t="s">
        <v>362</v>
      </c>
      <c r="C192" s="1" t="s">
        <v>363</v>
      </c>
      <c r="D192" s="1">
        <v>2023</v>
      </c>
      <c r="E192" s="1" t="s">
        <v>190</v>
      </c>
      <c r="F192" s="1" t="s">
        <v>233</v>
      </c>
      <c r="G192" s="11">
        <v>27</v>
      </c>
      <c r="H192" s="11">
        <v>3.8</v>
      </c>
      <c r="I192" s="11">
        <v>9.85</v>
      </c>
      <c r="J192" s="11">
        <v>821</v>
      </c>
      <c r="K192" s="11">
        <v>3.2</v>
      </c>
      <c r="L192" s="11">
        <v>2.35</v>
      </c>
      <c r="M192" s="11">
        <v>9.5</v>
      </c>
      <c r="N192" s="11">
        <v>148.5</v>
      </c>
      <c r="O192" s="9">
        <v>36.6666666666666</v>
      </c>
      <c r="P192" s="9">
        <v>6.6666666666666696</v>
      </c>
      <c r="Q192" s="9">
        <v>94.999999999999901</v>
      </c>
      <c r="R192" s="9">
        <v>21.8888888888888</v>
      </c>
      <c r="S192" s="9">
        <v>21.4</v>
      </c>
      <c r="T192" s="9">
        <v>39.624691358024698</v>
      </c>
      <c r="U192" t="s">
        <v>500</v>
      </c>
    </row>
    <row r="193" spans="1:21" x14ac:dyDescent="0.3">
      <c r="A193" s="1">
        <v>4665</v>
      </c>
      <c r="B193" s="2" t="s">
        <v>365</v>
      </c>
      <c r="C193" s="1" t="s">
        <v>364</v>
      </c>
      <c r="D193" s="1">
        <v>2023</v>
      </c>
      <c r="E193" s="1" t="s">
        <v>190</v>
      </c>
      <c r="F193" s="1" t="s">
        <v>233</v>
      </c>
      <c r="G193" s="11">
        <v>26.5</v>
      </c>
      <c r="H193" s="11">
        <v>4.4499999999999904</v>
      </c>
      <c r="I193" s="11">
        <v>8.15</v>
      </c>
      <c r="J193" s="11">
        <v>689</v>
      </c>
      <c r="K193" s="11">
        <v>2.5</v>
      </c>
      <c r="L193" s="11">
        <v>8.6999999999999993</v>
      </c>
      <c r="M193" s="11">
        <v>2</v>
      </c>
      <c r="N193" s="11">
        <v>42</v>
      </c>
      <c r="O193" s="9">
        <v>25.8333333333333</v>
      </c>
      <c r="P193" s="9">
        <v>0</v>
      </c>
      <c r="Q193" s="9">
        <v>0</v>
      </c>
      <c r="R193" s="9">
        <v>0</v>
      </c>
      <c r="S193" s="9">
        <v>12.6</v>
      </c>
      <c r="T193" s="9">
        <v>10.0111111111111</v>
      </c>
      <c r="U193" t="s">
        <v>500</v>
      </c>
    </row>
    <row r="194" spans="1:21" x14ac:dyDescent="0.3">
      <c r="A194" s="1">
        <v>3055</v>
      </c>
      <c r="B194" s="1" t="s">
        <v>473</v>
      </c>
      <c r="C194" s="1" t="s">
        <v>474</v>
      </c>
      <c r="D194" s="1">
        <v>2023</v>
      </c>
      <c r="E194" s="1" t="s">
        <v>230</v>
      </c>
      <c r="F194" s="1" t="s">
        <v>233</v>
      </c>
      <c r="G194" s="11">
        <v>28</v>
      </c>
      <c r="H194" s="11">
        <v>2.75</v>
      </c>
      <c r="I194" s="11">
        <v>7.55</v>
      </c>
      <c r="J194" s="11">
        <v>1490.5</v>
      </c>
      <c r="K194" s="11">
        <v>17.2</v>
      </c>
      <c r="L194" s="11">
        <v>6.1</v>
      </c>
      <c r="M194" s="11">
        <v>25</v>
      </c>
      <c r="N194" s="11">
        <v>570</v>
      </c>
      <c r="O194" s="9">
        <v>54.1666666666666</v>
      </c>
      <c r="P194" s="9">
        <v>100</v>
      </c>
      <c r="Q194" s="9">
        <v>0</v>
      </c>
      <c r="R194" s="9">
        <v>100</v>
      </c>
      <c r="S194" s="9">
        <v>66.033333333333303</v>
      </c>
      <c r="T194" s="9">
        <v>58.7259259259259</v>
      </c>
      <c r="U194" t="s">
        <v>501</v>
      </c>
    </row>
    <row r="195" spans="1:21" x14ac:dyDescent="0.3">
      <c r="A195" s="1">
        <v>3050</v>
      </c>
      <c r="B195" s="1" t="s">
        <v>477</v>
      </c>
      <c r="C195" s="1" t="s">
        <v>478</v>
      </c>
      <c r="D195" s="1">
        <v>2023</v>
      </c>
      <c r="E195" s="1" t="s">
        <v>526</v>
      </c>
      <c r="F195" s="1" t="s">
        <v>237</v>
      </c>
      <c r="G195" s="11">
        <v>22</v>
      </c>
      <c r="H195" s="11">
        <v>5.65</v>
      </c>
      <c r="I195" s="11">
        <v>7.3</v>
      </c>
      <c r="J195" s="11">
        <v>180.5</v>
      </c>
      <c r="K195" s="11">
        <v>1</v>
      </c>
      <c r="L195" s="11">
        <v>0.3</v>
      </c>
      <c r="M195" s="11">
        <v>2</v>
      </c>
      <c r="N195" s="11">
        <v>2</v>
      </c>
      <c r="O195" s="9">
        <v>5.8333333333333197</v>
      </c>
      <c r="P195" s="9">
        <v>0</v>
      </c>
      <c r="Q195" s="9">
        <v>0</v>
      </c>
      <c r="R195" s="9">
        <v>0</v>
      </c>
      <c r="S195" s="9">
        <v>0</v>
      </c>
      <c r="T195" s="9">
        <v>1.94444444444444</v>
      </c>
      <c r="U195" t="s">
        <v>500</v>
      </c>
    </row>
    <row r="251" spans="3:3" x14ac:dyDescent="0.3">
      <c r="C251" t="s">
        <v>461</v>
      </c>
    </row>
    <row r="258" spans="3:3" x14ac:dyDescent="0.3">
      <c r="C258" t="s">
        <v>461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8872-2CAE-43E7-AC38-FF2E0AEA9EF9}">
  <dimension ref="A3:G114"/>
  <sheetViews>
    <sheetView topLeftCell="A20" zoomScale="56" zoomScaleNormal="80" workbookViewId="0">
      <selection activeCell="P93" sqref="P93"/>
    </sheetView>
  </sheetViews>
  <sheetFormatPr defaultRowHeight="14.4" x14ac:dyDescent="0.3"/>
  <cols>
    <col min="1" max="1" width="37.21875" bestFit="1" customWidth="1"/>
    <col min="2" max="2" width="23.88671875" bestFit="1" customWidth="1"/>
    <col min="3" max="3" width="15.77734375" bestFit="1" customWidth="1"/>
    <col min="4" max="4" width="12.88671875" bestFit="1" customWidth="1"/>
    <col min="5" max="5" width="17.109375" bestFit="1" customWidth="1"/>
    <col min="6" max="6" width="22.88671875" bestFit="1" customWidth="1"/>
    <col min="7" max="7" width="12.109375" bestFit="1" customWidth="1"/>
    <col min="8" max="12" width="12" bestFit="1" customWidth="1"/>
    <col min="13" max="13" width="11" bestFit="1" customWidth="1"/>
    <col min="14" max="18" width="12" bestFit="1" customWidth="1"/>
    <col min="19" max="19" width="11" bestFit="1" customWidth="1"/>
    <col min="20" max="40" width="12" bestFit="1" customWidth="1"/>
    <col min="41" max="41" width="11" bestFit="1" customWidth="1"/>
    <col min="42" max="59" width="12" bestFit="1" customWidth="1"/>
    <col min="60" max="60" width="11" bestFit="1" customWidth="1"/>
    <col min="61" max="61" width="3" bestFit="1" customWidth="1"/>
    <col min="62" max="62" width="11" bestFit="1" customWidth="1"/>
    <col min="63" max="66" width="12" bestFit="1" customWidth="1"/>
    <col min="67" max="67" width="11" bestFit="1" customWidth="1"/>
    <col min="68" max="74" width="12" bestFit="1" customWidth="1"/>
    <col min="75" max="75" width="5" bestFit="1" customWidth="1"/>
    <col min="76" max="82" width="12" bestFit="1" customWidth="1"/>
    <col min="83" max="83" width="5" bestFit="1" customWidth="1"/>
    <col min="84" max="91" width="12" bestFit="1" customWidth="1"/>
    <col min="92" max="92" width="11" bestFit="1" customWidth="1"/>
    <col min="93" max="100" width="12" bestFit="1" customWidth="1"/>
    <col min="101" max="101" width="11" bestFit="1" customWidth="1"/>
    <col min="102" max="103" width="12" bestFit="1" customWidth="1"/>
    <col min="104" max="104" width="3" bestFit="1" customWidth="1"/>
    <col min="105" max="115" width="12" bestFit="1" customWidth="1"/>
    <col min="116" max="116" width="7" bestFit="1" customWidth="1"/>
    <col min="117" max="117" width="10.77734375" bestFit="1" customWidth="1"/>
    <col min="118" max="118" width="7" bestFit="1" customWidth="1"/>
    <col min="119" max="122" width="5" bestFit="1" customWidth="1"/>
    <col min="123" max="123" width="4" bestFit="1" customWidth="1"/>
    <col min="124" max="124" width="5" bestFit="1" customWidth="1"/>
    <col min="125" max="125" width="9.21875" bestFit="1" customWidth="1"/>
    <col min="126" max="126" width="5" bestFit="1" customWidth="1"/>
    <col min="127" max="128" width="4" bestFit="1" customWidth="1"/>
    <col min="129" max="129" width="5" bestFit="1" customWidth="1"/>
    <col min="130" max="131" width="4" bestFit="1" customWidth="1"/>
    <col min="132" max="132" width="2" bestFit="1" customWidth="1"/>
    <col min="133" max="135" width="4" bestFit="1" customWidth="1"/>
    <col min="136" max="136" width="5" bestFit="1" customWidth="1"/>
    <col min="137" max="137" width="4" bestFit="1" customWidth="1"/>
    <col min="138" max="138" width="7.6640625" bestFit="1" customWidth="1"/>
    <col min="139" max="139" width="7" bestFit="1" customWidth="1"/>
    <col min="140" max="140" width="4" bestFit="1" customWidth="1"/>
    <col min="141" max="143" width="5" bestFit="1" customWidth="1"/>
    <col min="144" max="144" width="4" bestFit="1" customWidth="1"/>
    <col min="145" max="145" width="9.21875" bestFit="1" customWidth="1"/>
    <col min="146" max="146" width="5" bestFit="1" customWidth="1"/>
    <col min="147" max="147" width="4" bestFit="1" customWidth="1"/>
    <col min="148" max="156" width="5" bestFit="1" customWidth="1"/>
    <col min="157" max="157" width="4" bestFit="1" customWidth="1"/>
    <col min="158" max="158" width="7.6640625" bestFit="1" customWidth="1"/>
    <col min="159" max="159" width="7" bestFit="1" customWidth="1"/>
    <col min="160" max="160" width="5" bestFit="1" customWidth="1"/>
    <col min="161" max="165" width="4" bestFit="1" customWidth="1"/>
    <col min="166" max="166" width="9.21875" bestFit="1" customWidth="1"/>
    <col min="167" max="167" width="5" bestFit="1" customWidth="1"/>
    <col min="168" max="168" width="2" bestFit="1" customWidth="1"/>
    <col min="169" max="169" width="5" bestFit="1" customWidth="1"/>
    <col min="170" max="170" width="4" bestFit="1" customWidth="1"/>
    <col min="171" max="173" width="5" bestFit="1" customWidth="1"/>
    <col min="174" max="174" width="2" bestFit="1" customWidth="1"/>
    <col min="175" max="175" width="5" bestFit="1" customWidth="1"/>
    <col min="176" max="176" width="4" bestFit="1" customWidth="1"/>
    <col min="177" max="177" width="5" bestFit="1" customWidth="1"/>
    <col min="178" max="178" width="7.6640625" bestFit="1" customWidth="1"/>
    <col min="179" max="179" width="7" bestFit="1" customWidth="1"/>
    <col min="180" max="180" width="5" bestFit="1" customWidth="1"/>
    <col min="181" max="184" width="4" bestFit="1" customWidth="1"/>
    <col min="185" max="185" width="5" bestFit="1" customWidth="1"/>
    <col min="186" max="186" width="4" bestFit="1" customWidth="1"/>
    <col min="187" max="187" width="2" bestFit="1" customWidth="1"/>
    <col min="188" max="188" width="9.21875" bestFit="1" customWidth="1"/>
    <col min="189" max="189" width="5" bestFit="1" customWidth="1"/>
    <col min="190" max="190" width="4" bestFit="1" customWidth="1"/>
    <col min="191" max="194" width="5" bestFit="1" customWidth="1"/>
    <col min="195" max="195" width="4" bestFit="1" customWidth="1"/>
    <col min="196" max="196" width="5" bestFit="1" customWidth="1"/>
    <col min="197" max="197" width="4" bestFit="1" customWidth="1"/>
    <col min="198" max="198" width="7.6640625" bestFit="1" customWidth="1"/>
    <col min="199" max="199" width="7" bestFit="1" customWidth="1"/>
    <col min="200" max="200" width="4" bestFit="1" customWidth="1"/>
    <col min="201" max="201" width="5" bestFit="1" customWidth="1"/>
    <col min="202" max="203" width="4" bestFit="1" customWidth="1"/>
    <col min="204" max="204" width="5" bestFit="1" customWidth="1"/>
    <col min="205" max="205" width="4" bestFit="1" customWidth="1"/>
    <col min="206" max="206" width="5" bestFit="1" customWidth="1"/>
    <col min="207" max="207" width="4" bestFit="1" customWidth="1"/>
    <col min="208" max="208" width="5" bestFit="1" customWidth="1"/>
    <col min="209" max="209" width="4" bestFit="1" customWidth="1"/>
    <col min="210" max="212" width="5" bestFit="1" customWidth="1"/>
    <col min="213" max="213" width="9.21875" bestFit="1" customWidth="1"/>
    <col min="214" max="214" width="5" bestFit="1" customWidth="1"/>
    <col min="215" max="215" width="4" bestFit="1" customWidth="1"/>
    <col min="216" max="216" width="5" bestFit="1" customWidth="1"/>
    <col min="217" max="217" width="4" bestFit="1" customWidth="1"/>
    <col min="218" max="218" width="5" bestFit="1" customWidth="1"/>
    <col min="219" max="219" width="4" bestFit="1" customWidth="1"/>
    <col min="220" max="221" width="5" bestFit="1" customWidth="1"/>
    <col min="222" max="222" width="7.6640625" bestFit="1" customWidth="1"/>
    <col min="223" max="223" width="7" bestFit="1" customWidth="1"/>
    <col min="224" max="224" width="4" bestFit="1" customWidth="1"/>
    <col min="225" max="225" width="5" bestFit="1" customWidth="1"/>
    <col min="226" max="226" width="9.21875" bestFit="1" customWidth="1"/>
    <col min="227" max="227" width="5" bestFit="1" customWidth="1"/>
    <col min="228" max="228" width="4" bestFit="1" customWidth="1"/>
    <col min="229" max="229" width="5" bestFit="1" customWidth="1"/>
    <col min="230" max="230" width="7.6640625" bestFit="1" customWidth="1"/>
    <col min="231" max="231" width="7" bestFit="1" customWidth="1"/>
    <col min="232" max="232" width="9.21875" bestFit="1" customWidth="1"/>
    <col min="233" max="234" width="5" bestFit="1" customWidth="1"/>
    <col min="235" max="235" width="7.6640625" bestFit="1" customWidth="1"/>
    <col min="236" max="236" width="5" bestFit="1" customWidth="1"/>
    <col min="237" max="237" width="7.6640625" bestFit="1" customWidth="1"/>
    <col min="238" max="238" width="6" bestFit="1" customWidth="1"/>
    <col min="239" max="239" width="8.6640625" bestFit="1" customWidth="1"/>
    <col min="240" max="240" width="7" bestFit="1" customWidth="1"/>
    <col min="241" max="241" width="8.6640625" bestFit="1" customWidth="1"/>
    <col min="242" max="242" width="9" bestFit="1" customWidth="1"/>
    <col min="243" max="243" width="11.6640625" bestFit="1" customWidth="1"/>
    <col min="244" max="244" width="10.77734375" bestFit="1" customWidth="1"/>
    <col min="245" max="245" width="34.33203125" bestFit="1" customWidth="1"/>
    <col min="246" max="246" width="53.44140625" bestFit="1" customWidth="1"/>
    <col min="247" max="247" width="56.21875" bestFit="1" customWidth="1"/>
    <col min="248" max="248" width="22.33203125" bestFit="1" customWidth="1"/>
    <col min="249" max="249" width="25.109375" bestFit="1" customWidth="1"/>
    <col min="250" max="250" width="26.77734375" bestFit="1" customWidth="1"/>
    <col min="251" max="251" width="29.6640625" bestFit="1" customWidth="1"/>
    <col min="252" max="252" width="35.6640625" bestFit="1" customWidth="1"/>
    <col min="253" max="253" width="38.44140625" bestFit="1" customWidth="1"/>
    <col min="254" max="254" width="36.33203125" bestFit="1" customWidth="1"/>
    <col min="255" max="255" width="39.109375" bestFit="1" customWidth="1"/>
    <col min="256" max="256" width="14.5546875" bestFit="1" customWidth="1"/>
    <col min="257" max="257" width="17.44140625" bestFit="1" customWidth="1"/>
    <col min="258" max="258" width="24.77734375" bestFit="1" customWidth="1"/>
    <col min="259" max="259" width="27.5546875" bestFit="1" customWidth="1"/>
    <col min="260" max="272" width="12" bestFit="1" customWidth="1"/>
    <col min="273" max="273" width="9" bestFit="1" customWidth="1"/>
    <col min="274" max="274" width="16.21875" bestFit="1" customWidth="1"/>
    <col min="275" max="275" width="19" bestFit="1" customWidth="1"/>
    <col min="276" max="276" width="20" bestFit="1" customWidth="1"/>
    <col min="277" max="277" width="22.77734375" bestFit="1" customWidth="1"/>
    <col min="278" max="278" width="24" bestFit="1" customWidth="1"/>
    <col min="279" max="279" width="26.77734375" bestFit="1" customWidth="1"/>
    <col min="280" max="280" width="21.5546875" bestFit="1" customWidth="1"/>
    <col min="281" max="281" width="24.33203125" bestFit="1" customWidth="1"/>
    <col min="282" max="282" width="12.77734375" bestFit="1" customWidth="1"/>
    <col min="283" max="283" width="15.5546875" bestFit="1" customWidth="1"/>
    <col min="284" max="284" width="12" bestFit="1" customWidth="1"/>
    <col min="285" max="285" width="13.88671875" bestFit="1" customWidth="1"/>
    <col min="286" max="286" width="13.77734375" bestFit="1" customWidth="1"/>
    <col min="287" max="287" width="16.5546875" bestFit="1" customWidth="1"/>
    <col min="288" max="288" width="20.77734375" bestFit="1" customWidth="1"/>
    <col min="289" max="289" width="23.5546875" bestFit="1" customWidth="1"/>
    <col min="290" max="290" width="18.33203125" bestFit="1" customWidth="1"/>
    <col min="291" max="291" width="21.109375" bestFit="1" customWidth="1"/>
    <col min="292" max="304" width="12" bestFit="1" customWidth="1"/>
    <col min="305" max="305" width="11.6640625" bestFit="1" customWidth="1"/>
    <col min="306" max="306" width="10.77734375" bestFit="1" customWidth="1"/>
  </cols>
  <sheetData>
    <row r="3" spans="1:5" x14ac:dyDescent="0.3">
      <c r="A3" s="10" t="s">
        <v>503</v>
      </c>
      <c r="B3" t="s">
        <v>507</v>
      </c>
      <c r="D3" t="s">
        <v>508</v>
      </c>
      <c r="E3" t="s">
        <v>509</v>
      </c>
    </row>
    <row r="4" spans="1:5" x14ac:dyDescent="0.3">
      <c r="A4" s="1" t="s">
        <v>75</v>
      </c>
      <c r="B4" s="12">
        <v>19</v>
      </c>
      <c r="D4" s="1" t="s">
        <v>75</v>
      </c>
      <c r="E4" s="13">
        <f>(GETPIVOTDATA("Type Water Body",$A$3,"Type Water Body","BEACH")/GETPIVOTDATA("Type Water Body",$A$3))</f>
        <v>9.7938144329896906E-2</v>
      </c>
    </row>
    <row r="5" spans="1:5" x14ac:dyDescent="0.3">
      <c r="A5" s="1" t="s">
        <v>94</v>
      </c>
      <c r="B5" s="12">
        <v>24</v>
      </c>
      <c r="D5" s="1" t="s">
        <v>94</v>
      </c>
      <c r="E5" s="13">
        <f>(GETPIVOTDATA("Type Water Body",$A$3,"Type Water Body","CANAL")/GETPIVOTDATA("Type Water Body",$A$3))</f>
        <v>0.12371134020618557</v>
      </c>
    </row>
    <row r="6" spans="1:5" x14ac:dyDescent="0.3">
      <c r="A6" s="1" t="s">
        <v>164</v>
      </c>
      <c r="B6" s="12">
        <v>1</v>
      </c>
      <c r="D6" s="1" t="s">
        <v>164</v>
      </c>
      <c r="E6" s="13">
        <f>(GETPIVOTDATA("Type Water Body",$A$3,"Type Water Body","CREEK")/GETPIVOTDATA("Type Water Body",$A$3))</f>
        <v>5.1546391752577319E-3</v>
      </c>
    </row>
    <row r="7" spans="1:5" x14ac:dyDescent="0.3">
      <c r="A7" s="1" t="s">
        <v>190</v>
      </c>
      <c r="B7" s="12">
        <v>35</v>
      </c>
      <c r="D7" s="1" t="s">
        <v>190</v>
      </c>
      <c r="E7" s="13">
        <f>(GETPIVOTDATA("Type Water Body",$A$3,"Type Water Body","DRAIN")/GETPIVOTDATA("Type Water Body",$A$3))</f>
        <v>0.18041237113402062</v>
      </c>
    </row>
    <row r="8" spans="1:5" x14ac:dyDescent="0.3">
      <c r="A8" s="1" t="s">
        <v>108</v>
      </c>
      <c r="B8" s="12">
        <v>22</v>
      </c>
      <c r="D8" s="1" t="s">
        <v>108</v>
      </c>
      <c r="E8" s="13">
        <f>(GETPIVOTDATA("Type Water Body",$A$3,"Type Water Body","LAKE")/GETPIVOTDATA("Type Water Body",$A$3))</f>
        <v>0.1134020618556701</v>
      </c>
    </row>
    <row r="9" spans="1:5" x14ac:dyDescent="0.3">
      <c r="A9" s="1" t="s">
        <v>69</v>
      </c>
      <c r="B9" s="12">
        <v>10</v>
      </c>
      <c r="D9" s="1" t="s">
        <v>69</v>
      </c>
      <c r="E9" s="13">
        <f>(GETPIVOTDATA("Type Water Body",$A$3,"Type Water Body","MARINE")/GETPIVOTDATA("Type Water Body",$A$3))</f>
        <v>5.1546391752577317E-2</v>
      </c>
    </row>
    <row r="10" spans="1:5" x14ac:dyDescent="0.3">
      <c r="A10" s="1" t="s">
        <v>132</v>
      </c>
      <c r="B10" s="12">
        <v>24</v>
      </c>
      <c r="D10" s="1" t="s">
        <v>132</v>
      </c>
      <c r="E10" s="13">
        <f>(GETPIVOTDATA("Type Water Body",$A$3,"Type Water Body","POND")/GETPIVOTDATA("Type Water Body",$A$3))</f>
        <v>0.12371134020618557</v>
      </c>
    </row>
    <row r="11" spans="1:5" x14ac:dyDescent="0.3">
      <c r="A11" s="1" t="s">
        <v>25</v>
      </c>
      <c r="B11" s="12">
        <v>50</v>
      </c>
      <c r="D11" s="1" t="s">
        <v>25</v>
      </c>
      <c r="E11" s="13">
        <f>(GETPIVOTDATA("Type Water Body",$A$3,"Type Water Body","RIVER")/GETPIVOTDATA("Type Water Body",$A$3))</f>
        <v>0.25773195876288657</v>
      </c>
    </row>
    <row r="12" spans="1:5" x14ac:dyDescent="0.3">
      <c r="A12" s="1" t="s">
        <v>79</v>
      </c>
      <c r="B12" s="12">
        <v>4</v>
      </c>
      <c r="D12" s="1" t="s">
        <v>79</v>
      </c>
      <c r="E12" s="13">
        <f>(GETPIVOTDATA("Type Water Body",$A$3,"Type Water Body","SEA")/GETPIVOTDATA("Type Water Body",$A$3))</f>
        <v>2.0618556701030927E-2</v>
      </c>
    </row>
    <row r="13" spans="1:5" x14ac:dyDescent="0.3">
      <c r="A13" s="1" t="s">
        <v>230</v>
      </c>
      <c r="B13" s="12">
        <v>2</v>
      </c>
      <c r="D13" s="1" t="s">
        <v>230</v>
      </c>
      <c r="E13" s="13">
        <f>(GETPIVOTDATA("Type Water Body",$A$3,"Type Water Body","STP")/GETPIVOTDATA("Type Water Body",$A$3))</f>
        <v>1.0309278350515464E-2</v>
      </c>
    </row>
    <row r="14" spans="1:5" x14ac:dyDescent="0.3">
      <c r="A14" s="1" t="s">
        <v>193</v>
      </c>
      <c r="B14" s="12">
        <v>3</v>
      </c>
      <c r="D14" s="1" t="s">
        <v>193</v>
      </c>
      <c r="E14" s="13">
        <f>(GETPIVOTDATA("Type Water Body",$A$3,"Type Water Body","WATER TREATMENT PLANT (RAW WATER)")/GETPIVOTDATA("Type Water Body",$A$3))</f>
        <v>1.5463917525773196E-2</v>
      </c>
    </row>
    <row r="15" spans="1:5" x14ac:dyDescent="0.3">
      <c r="A15" s="1" t="s">
        <v>504</v>
      </c>
      <c r="B15" s="12"/>
      <c r="C15" s="13"/>
    </row>
    <row r="16" spans="1:5" x14ac:dyDescent="0.3">
      <c r="A16" s="1" t="s">
        <v>505</v>
      </c>
      <c r="B16" s="12">
        <v>194</v>
      </c>
    </row>
    <row r="20" spans="1:5" x14ac:dyDescent="0.3">
      <c r="A20" s="10" t="s">
        <v>503</v>
      </c>
      <c r="B20" t="s">
        <v>513</v>
      </c>
      <c r="C20" t="s">
        <v>512</v>
      </c>
      <c r="D20" t="s">
        <v>514</v>
      </c>
      <c r="E20" t="s">
        <v>515</v>
      </c>
    </row>
    <row r="21" spans="1:5" x14ac:dyDescent="0.3">
      <c r="A21" s="1" t="s">
        <v>75</v>
      </c>
      <c r="B21" s="7">
        <v>6.0868421052631563</v>
      </c>
      <c r="C21" s="7">
        <v>27.184210526315791</v>
      </c>
      <c r="D21" s="7">
        <v>0.87684210526315753</v>
      </c>
      <c r="E21" s="7">
        <v>7.7342105263157892</v>
      </c>
    </row>
    <row r="22" spans="1:5" x14ac:dyDescent="0.3">
      <c r="A22" s="1" t="s">
        <v>94</v>
      </c>
      <c r="B22" s="7">
        <v>5.3565217391304341</v>
      </c>
      <c r="C22" s="7">
        <v>57.625</v>
      </c>
      <c r="D22" s="7">
        <v>1.4260869565217378</v>
      </c>
      <c r="E22" s="7">
        <v>7.4166666666666643</v>
      </c>
    </row>
    <row r="23" spans="1:5" x14ac:dyDescent="0.3">
      <c r="A23" s="1" t="s">
        <v>164</v>
      </c>
      <c r="B23" s="7">
        <v>6.1</v>
      </c>
      <c r="C23" s="7">
        <v>28.5</v>
      </c>
      <c r="D23" s="7">
        <v>2.0499999999999998</v>
      </c>
      <c r="E23" s="7">
        <v>7.15</v>
      </c>
    </row>
    <row r="24" spans="1:5" x14ac:dyDescent="0.3">
      <c r="A24" s="1" t="s">
        <v>190</v>
      </c>
      <c r="B24" s="7">
        <v>7.1828571428571424</v>
      </c>
      <c r="C24" s="7">
        <v>15.971428571428572</v>
      </c>
      <c r="D24" s="7">
        <v>2.7599999999999989</v>
      </c>
      <c r="E24" s="7">
        <v>7.7399999999999993</v>
      </c>
    </row>
    <row r="25" spans="1:5" x14ac:dyDescent="0.3">
      <c r="A25" s="1" t="s">
        <v>108</v>
      </c>
      <c r="B25" s="7">
        <v>5.5704545454545435</v>
      </c>
      <c r="C25" s="7">
        <v>25.522727272727273</v>
      </c>
      <c r="D25" s="7">
        <v>1.3499999999999994</v>
      </c>
      <c r="E25" s="7">
        <v>7.2113636363636378</v>
      </c>
    </row>
    <row r="26" spans="1:5" x14ac:dyDescent="0.3">
      <c r="A26" s="1" t="s">
        <v>69</v>
      </c>
      <c r="B26" s="7">
        <v>5.91</v>
      </c>
      <c r="C26" s="7">
        <v>24.75</v>
      </c>
      <c r="D26" s="7">
        <v>1.0674999999999988</v>
      </c>
      <c r="E26" s="7">
        <v>7.7450000000000001</v>
      </c>
    </row>
    <row r="27" spans="1:5" x14ac:dyDescent="0.3">
      <c r="A27" s="1" t="s">
        <v>132</v>
      </c>
      <c r="B27" s="7">
        <v>6.5083333333333337</v>
      </c>
      <c r="C27" s="7">
        <v>27.1875</v>
      </c>
      <c r="D27" s="7">
        <v>1.1250000000000002</v>
      </c>
      <c r="E27" s="7">
        <v>7.2249999999999988</v>
      </c>
    </row>
    <row r="28" spans="1:5" x14ac:dyDescent="0.3">
      <c r="A28" s="1" t="s">
        <v>25</v>
      </c>
      <c r="B28" s="7">
        <v>7.6950000000000003</v>
      </c>
      <c r="C28" s="7">
        <v>20.119000000000003</v>
      </c>
      <c r="D28" s="7">
        <v>1.8159999999999987</v>
      </c>
      <c r="E28" s="7">
        <v>7.745899999999998</v>
      </c>
    </row>
    <row r="29" spans="1:5" x14ac:dyDescent="0.3">
      <c r="A29" s="1" t="s">
        <v>79</v>
      </c>
      <c r="B29" s="7">
        <v>5.7625000000000002</v>
      </c>
      <c r="C29" s="7">
        <v>25.875</v>
      </c>
      <c r="D29" s="7">
        <v>2.1387499999999999</v>
      </c>
      <c r="E29" s="7">
        <v>7.6374999999999975</v>
      </c>
    </row>
    <row r="30" spans="1:5" x14ac:dyDescent="0.3">
      <c r="A30" s="1" t="s">
        <v>230</v>
      </c>
      <c r="B30" s="7">
        <v>2.95</v>
      </c>
      <c r="C30" s="7">
        <v>30</v>
      </c>
      <c r="D30" s="7">
        <v>3.375</v>
      </c>
      <c r="E30" s="7">
        <v>7.4249999999999998</v>
      </c>
    </row>
    <row r="31" spans="1:5" x14ac:dyDescent="0.3">
      <c r="A31" s="1" t="s">
        <v>193</v>
      </c>
      <c r="B31" s="7">
        <v>6.7166666666666659</v>
      </c>
      <c r="C31" s="7">
        <v>25.666666666666668</v>
      </c>
      <c r="D31" s="7">
        <v>0.3</v>
      </c>
      <c r="E31" s="7">
        <v>7.4333333333333336</v>
      </c>
    </row>
    <row r="32" spans="1:5" x14ac:dyDescent="0.3">
      <c r="A32" s="1" t="s">
        <v>504</v>
      </c>
    </row>
    <row r="33" spans="1:5" x14ac:dyDescent="0.3">
      <c r="A33" s="1" t="s">
        <v>505</v>
      </c>
      <c r="B33">
        <v>6.5702072538860117</v>
      </c>
      <c r="C33">
        <v>26.778092783505155</v>
      </c>
      <c r="D33">
        <v>1.6709326424870459</v>
      </c>
      <c r="E33">
        <v>7.5644072164948426</v>
      </c>
    </row>
    <row r="39" spans="1:5" x14ac:dyDescent="0.3">
      <c r="A39" s="10" t="s">
        <v>503</v>
      </c>
      <c r="B39" t="s">
        <v>516</v>
      </c>
    </row>
    <row r="40" spans="1:5" x14ac:dyDescent="0.3">
      <c r="A40" s="1" t="s">
        <v>70</v>
      </c>
      <c r="B40" s="8">
        <v>17.957957957957909</v>
      </c>
    </row>
    <row r="41" spans="1:5" x14ac:dyDescent="0.3">
      <c r="A41" s="1" t="s">
        <v>109</v>
      </c>
      <c r="B41" s="8">
        <v>16.068357487922675</v>
      </c>
    </row>
    <row r="42" spans="1:5" x14ac:dyDescent="0.3">
      <c r="A42" s="1" t="s">
        <v>100</v>
      </c>
      <c r="B42" s="8">
        <v>38.637037037036997</v>
      </c>
    </row>
    <row r="43" spans="1:5" x14ac:dyDescent="0.3">
      <c r="A43" s="1" t="s">
        <v>89</v>
      </c>
      <c r="B43" s="8">
        <v>16.193595679012311</v>
      </c>
    </row>
    <row r="44" spans="1:5" x14ac:dyDescent="0.3">
      <c r="A44" s="1" t="s">
        <v>106</v>
      </c>
      <c r="B44" s="8">
        <v>0.46296296296296274</v>
      </c>
    </row>
    <row r="45" spans="1:5" x14ac:dyDescent="0.3">
      <c r="A45" s="1" t="s">
        <v>194</v>
      </c>
      <c r="B45" s="8">
        <v>16.629629629629601</v>
      </c>
    </row>
    <row r="46" spans="1:5" x14ac:dyDescent="0.3">
      <c r="A46" s="1" t="s">
        <v>40</v>
      </c>
      <c r="B46" s="8">
        <v>10.793650793650775</v>
      </c>
    </row>
    <row r="47" spans="1:5" x14ac:dyDescent="0.3">
      <c r="A47" s="1" t="s">
        <v>26</v>
      </c>
      <c r="B47" s="8">
        <v>0.81018518518518501</v>
      </c>
    </row>
    <row r="48" spans="1:5" x14ac:dyDescent="0.3">
      <c r="A48" s="1" t="s">
        <v>54</v>
      </c>
      <c r="B48" s="8">
        <v>13.606635802469118</v>
      </c>
    </row>
    <row r="49" spans="1:4" x14ac:dyDescent="0.3">
      <c r="A49" s="1" t="s">
        <v>224</v>
      </c>
      <c r="B49" s="8">
        <v>33.721810699588431</v>
      </c>
    </row>
    <row r="50" spans="1:4" x14ac:dyDescent="0.3">
      <c r="A50" s="1" t="s">
        <v>228</v>
      </c>
      <c r="B50" s="8">
        <v>44.6111111111111</v>
      </c>
    </row>
    <row r="51" spans="1:4" x14ac:dyDescent="0.3">
      <c r="A51" s="1" t="s">
        <v>187</v>
      </c>
      <c r="B51" s="8">
        <v>2.7839506172839501</v>
      </c>
    </row>
    <row r="52" spans="1:4" x14ac:dyDescent="0.3">
      <c r="A52" s="1" t="s">
        <v>62</v>
      </c>
      <c r="B52" s="8">
        <v>18.893086419753036</v>
      </c>
    </row>
    <row r="53" spans="1:4" x14ac:dyDescent="0.3">
      <c r="A53" s="1" t="s">
        <v>231</v>
      </c>
      <c r="B53" s="8">
        <v>56.2777777777777</v>
      </c>
    </row>
    <row r="54" spans="1:4" x14ac:dyDescent="0.3">
      <c r="A54" s="1" t="s">
        <v>233</v>
      </c>
      <c r="B54" s="8">
        <v>36.120576131687237</v>
      </c>
    </row>
    <row r="55" spans="1:4" x14ac:dyDescent="0.3">
      <c r="A55" s="1" t="s">
        <v>237</v>
      </c>
      <c r="B55" s="8">
        <v>1.94444444444444</v>
      </c>
    </row>
    <row r="56" spans="1:4" x14ac:dyDescent="0.3">
      <c r="A56" s="1" t="s">
        <v>42</v>
      </c>
      <c r="B56" s="8">
        <v>11.1111111111111</v>
      </c>
    </row>
    <row r="57" spans="1:4" x14ac:dyDescent="0.3">
      <c r="A57" s="1" t="s">
        <v>504</v>
      </c>
    </row>
    <row r="58" spans="1:4" x14ac:dyDescent="0.3">
      <c r="A58" s="1" t="s">
        <v>505</v>
      </c>
      <c r="B58">
        <v>14.86947308132874</v>
      </c>
    </row>
    <row r="61" spans="1:4" x14ac:dyDescent="0.3">
      <c r="A61" s="10" t="s">
        <v>503</v>
      </c>
      <c r="B61" t="s">
        <v>506</v>
      </c>
      <c r="C61" s="14" t="s">
        <v>517</v>
      </c>
      <c r="D61" s="14" t="s">
        <v>518</v>
      </c>
    </row>
    <row r="62" spans="1:4" x14ac:dyDescent="0.3">
      <c r="A62" s="1" t="s">
        <v>500</v>
      </c>
      <c r="B62">
        <v>145</v>
      </c>
      <c r="C62" s="15" t="s">
        <v>500</v>
      </c>
      <c r="D62" s="16">
        <f>(GETPIVOTDATA("WQI_Category",$A$61,"WQI_Category","Excellent")/GETPIVOTDATA("WQI_Category",$A$61))</f>
        <v>0.74742268041237114</v>
      </c>
    </row>
    <row r="63" spans="1:4" x14ac:dyDescent="0.3">
      <c r="A63" s="1" t="s">
        <v>501</v>
      </c>
      <c r="B63">
        <v>12</v>
      </c>
      <c r="C63" s="15" t="s">
        <v>501</v>
      </c>
      <c r="D63" s="16">
        <f>(GETPIVOTDATA("WQI_Category",$A$61,"WQI_Category","Good")/GETPIVOTDATA("WQI_Category",$A$61))</f>
        <v>6.1855670103092786E-2</v>
      </c>
    </row>
    <row r="64" spans="1:4" x14ac:dyDescent="0.3">
      <c r="A64" s="1" t="s">
        <v>502</v>
      </c>
      <c r="B64">
        <v>37</v>
      </c>
      <c r="C64" s="15" t="s">
        <v>502</v>
      </c>
      <c r="D64" s="16">
        <f>(GETPIVOTDATA("WQI_Category",$A$61,"WQI_Category","Moderate")/GETPIVOTDATA("WQI_Category",$A$61))</f>
        <v>0.19072164948453607</v>
      </c>
    </row>
    <row r="65" spans="1:2" x14ac:dyDescent="0.3">
      <c r="A65" s="1" t="s">
        <v>504</v>
      </c>
    </row>
    <row r="66" spans="1:2" x14ac:dyDescent="0.3">
      <c r="A66" s="1" t="s">
        <v>505</v>
      </c>
      <c r="B66">
        <v>194</v>
      </c>
    </row>
    <row r="71" spans="1:2" x14ac:dyDescent="0.3">
      <c r="A71" s="10" t="s">
        <v>503</v>
      </c>
      <c r="B71" t="s">
        <v>510</v>
      </c>
    </row>
    <row r="72" spans="1:2" x14ac:dyDescent="0.3">
      <c r="A72" s="1">
        <v>2021</v>
      </c>
      <c r="B72" s="8">
        <v>594.31851851851729</v>
      </c>
    </row>
    <row r="73" spans="1:2" x14ac:dyDescent="0.3">
      <c r="A73" s="1">
        <v>2022</v>
      </c>
      <c r="B73" s="8">
        <v>547.18395061728233</v>
      </c>
    </row>
    <row r="74" spans="1:2" x14ac:dyDescent="0.3">
      <c r="A74" s="1">
        <v>2023</v>
      </c>
      <c r="B74" s="8">
        <v>1743.1753086419724</v>
      </c>
    </row>
    <row r="75" spans="1:2" x14ac:dyDescent="0.3">
      <c r="A75" s="1" t="s">
        <v>504</v>
      </c>
    </row>
    <row r="76" spans="1:2" x14ac:dyDescent="0.3">
      <c r="A76" s="1" t="s">
        <v>505</v>
      </c>
      <c r="B76">
        <v>2884.677777777772</v>
      </c>
    </row>
    <row r="85" spans="1:7" x14ac:dyDescent="0.3">
      <c r="A85" s="10" t="s">
        <v>503</v>
      </c>
      <c r="B85" t="s">
        <v>522</v>
      </c>
      <c r="C85" t="s">
        <v>523</v>
      </c>
      <c r="D85" t="s">
        <v>524</v>
      </c>
      <c r="E85" t="s">
        <v>511</v>
      </c>
      <c r="F85" t="s">
        <v>525</v>
      </c>
      <c r="G85" t="s">
        <v>527</v>
      </c>
    </row>
    <row r="86" spans="1:7" x14ac:dyDescent="0.3">
      <c r="A86" s="1" t="s">
        <v>75</v>
      </c>
      <c r="B86">
        <v>27.184210526315791</v>
      </c>
      <c r="C86" s="8">
        <v>0.87684210526315753</v>
      </c>
      <c r="D86" s="8">
        <v>6.0868421052631563</v>
      </c>
      <c r="E86" s="8">
        <v>7.7342105263157892</v>
      </c>
      <c r="F86" s="8">
        <v>42094.894736842107</v>
      </c>
      <c r="G86" s="8">
        <v>2.1026315789473675</v>
      </c>
    </row>
    <row r="87" spans="1:7" x14ac:dyDescent="0.3">
      <c r="A87" s="1" t="s">
        <v>94</v>
      </c>
      <c r="B87">
        <v>57.625</v>
      </c>
      <c r="C87" s="8">
        <v>1.4260869565217378</v>
      </c>
      <c r="D87" s="8">
        <v>5.3565217391304341</v>
      </c>
      <c r="E87" s="8">
        <v>7.4166666666666643</v>
      </c>
      <c r="F87" s="8">
        <v>2094.681818181818</v>
      </c>
      <c r="G87" s="8">
        <v>7.1190476190476186</v>
      </c>
    </row>
    <row r="88" spans="1:7" x14ac:dyDescent="0.3">
      <c r="A88" s="1" t="s">
        <v>164</v>
      </c>
      <c r="B88">
        <v>28.5</v>
      </c>
      <c r="C88" s="8">
        <v>2.0499999999999998</v>
      </c>
      <c r="D88" s="8">
        <v>6.1</v>
      </c>
      <c r="E88" s="8">
        <v>7.15</v>
      </c>
      <c r="F88" s="8">
        <v>25920.5</v>
      </c>
      <c r="G88" s="8">
        <v>2.4</v>
      </c>
    </row>
    <row r="89" spans="1:7" x14ac:dyDescent="0.3">
      <c r="A89" s="1" t="s">
        <v>190</v>
      </c>
      <c r="B89">
        <v>15.971428571428572</v>
      </c>
      <c r="C89" s="8">
        <v>2.7599999999999989</v>
      </c>
      <c r="D89" s="8">
        <v>7.1828571428571424</v>
      </c>
      <c r="E89" s="8">
        <v>7.7399999999999993</v>
      </c>
      <c r="F89" s="8">
        <v>1084.9142857142858</v>
      </c>
      <c r="G89" s="8">
        <v>4.8642857142857148</v>
      </c>
    </row>
    <row r="90" spans="1:7" x14ac:dyDescent="0.3">
      <c r="A90" s="1" t="s">
        <v>108</v>
      </c>
      <c r="B90">
        <v>25.522727272727273</v>
      </c>
      <c r="C90" s="8">
        <v>1.3499999999999994</v>
      </c>
      <c r="D90" s="8">
        <v>5.5704545454545435</v>
      </c>
      <c r="E90" s="8">
        <v>7.2113636363636378</v>
      </c>
      <c r="F90" s="8">
        <v>211.68181818181819</v>
      </c>
      <c r="G90" s="8">
        <v>4.9795454545454509</v>
      </c>
    </row>
    <row r="91" spans="1:7" x14ac:dyDescent="0.3">
      <c r="A91" s="1" t="s">
        <v>69</v>
      </c>
      <c r="B91">
        <v>24.75</v>
      </c>
      <c r="C91" s="8">
        <v>1.0674999999999988</v>
      </c>
      <c r="D91" s="8">
        <v>5.91</v>
      </c>
      <c r="E91" s="8">
        <v>7.7450000000000001</v>
      </c>
      <c r="F91" s="8">
        <v>39406.5</v>
      </c>
      <c r="G91" s="8">
        <v>2.2399999999999971</v>
      </c>
    </row>
    <row r="92" spans="1:7" x14ac:dyDescent="0.3">
      <c r="A92" s="1" t="s">
        <v>132</v>
      </c>
      <c r="B92">
        <v>27.1875</v>
      </c>
      <c r="C92" s="8">
        <v>1.1250000000000002</v>
      </c>
      <c r="D92" s="8">
        <v>6.5083333333333337</v>
      </c>
      <c r="E92" s="8">
        <v>7.2249999999999988</v>
      </c>
      <c r="F92" s="8">
        <v>142.75</v>
      </c>
      <c r="G92" s="8">
        <v>2.3458333333333323</v>
      </c>
    </row>
    <row r="93" spans="1:7" x14ac:dyDescent="0.3">
      <c r="A93" s="1" t="s">
        <v>25</v>
      </c>
      <c r="B93">
        <v>20.119000000000003</v>
      </c>
      <c r="C93" s="8">
        <v>1.8159999999999987</v>
      </c>
      <c r="D93" s="8">
        <v>7.6950000000000003</v>
      </c>
      <c r="E93" s="8">
        <v>7.745899999999998</v>
      </c>
      <c r="F93" s="8">
        <v>759.63</v>
      </c>
      <c r="G93" s="8">
        <v>3.6475999999999971</v>
      </c>
    </row>
    <row r="94" spans="1:7" x14ac:dyDescent="0.3">
      <c r="A94" s="1" t="s">
        <v>79</v>
      </c>
      <c r="B94">
        <v>25.875</v>
      </c>
      <c r="C94" s="8">
        <v>2.1387499999999999</v>
      </c>
      <c r="D94" s="8">
        <v>5.7625000000000002</v>
      </c>
      <c r="E94" s="8">
        <v>7.6374999999999975</v>
      </c>
      <c r="F94" s="8">
        <v>24810.25</v>
      </c>
      <c r="G94" s="8">
        <v>3</v>
      </c>
    </row>
    <row r="95" spans="1:7" x14ac:dyDescent="0.3">
      <c r="A95" s="1" t="s">
        <v>230</v>
      </c>
      <c r="B95">
        <v>30</v>
      </c>
      <c r="C95" s="8">
        <v>3.375</v>
      </c>
      <c r="D95" s="8">
        <v>2.95</v>
      </c>
      <c r="E95" s="8">
        <v>7.4249999999999998</v>
      </c>
      <c r="F95" s="8">
        <v>1475.25</v>
      </c>
      <c r="G95" s="8">
        <v>14.1</v>
      </c>
    </row>
    <row r="96" spans="1:7" x14ac:dyDescent="0.3">
      <c r="A96" s="1" t="s">
        <v>193</v>
      </c>
      <c r="B96">
        <v>25.666666666666668</v>
      </c>
      <c r="C96" s="8">
        <v>0.3</v>
      </c>
      <c r="D96" s="8">
        <v>6.7166666666666659</v>
      </c>
      <c r="E96" s="8">
        <v>7.4333333333333336</v>
      </c>
      <c r="F96" s="8">
        <v>890.16666666666663</v>
      </c>
      <c r="G96" s="8">
        <v>1</v>
      </c>
    </row>
    <row r="97" spans="1:7" x14ac:dyDescent="0.3">
      <c r="A97" s="1" t="s">
        <v>504</v>
      </c>
    </row>
    <row r="98" spans="1:7" x14ac:dyDescent="0.3">
      <c r="A98" s="1" t="s">
        <v>505</v>
      </c>
      <c r="B98">
        <v>26.778092783505155</v>
      </c>
      <c r="C98">
        <v>1.6709326424870459</v>
      </c>
      <c r="D98">
        <v>6.5702072538860117</v>
      </c>
      <c r="E98">
        <v>7.5644072164948426</v>
      </c>
      <c r="F98">
        <v>7576.927083333333</v>
      </c>
      <c r="G98">
        <v>4.0624607329842934</v>
      </c>
    </row>
    <row r="104" spans="1:7" x14ac:dyDescent="0.3">
      <c r="B104" t="s">
        <v>1</v>
      </c>
      <c r="C104" t="s">
        <v>498</v>
      </c>
    </row>
    <row r="105" spans="1:7" x14ac:dyDescent="0.3">
      <c r="B105" s="3" t="s">
        <v>267</v>
      </c>
      <c r="C105" s="9">
        <v>52.570370370370298</v>
      </c>
    </row>
    <row r="106" spans="1:7" x14ac:dyDescent="0.3">
      <c r="B106" s="2" t="s">
        <v>409</v>
      </c>
      <c r="C106" s="9">
        <v>52.685185185185098</v>
      </c>
    </row>
    <row r="107" spans="1:7" x14ac:dyDescent="0.3">
      <c r="B107" s="3" t="s">
        <v>279</v>
      </c>
      <c r="C107" s="9">
        <v>53.0555555555555</v>
      </c>
    </row>
    <row r="108" spans="1:7" x14ac:dyDescent="0.3">
      <c r="B108" s="3" t="s">
        <v>229</v>
      </c>
      <c r="C108" s="9">
        <v>56.2777777777777</v>
      </c>
    </row>
    <row r="109" spans="1:7" x14ac:dyDescent="0.3">
      <c r="B109" s="2" t="s">
        <v>239</v>
      </c>
      <c r="C109" s="9">
        <v>56.981481481481403</v>
      </c>
    </row>
    <row r="110" spans="1:7" x14ac:dyDescent="0.3">
      <c r="B110" s="3" t="s">
        <v>473</v>
      </c>
      <c r="C110" s="9">
        <v>58.7259259259259</v>
      </c>
    </row>
    <row r="111" spans="1:7" x14ac:dyDescent="0.3">
      <c r="B111" s="3" t="s">
        <v>335</v>
      </c>
      <c r="C111" s="9">
        <v>59.7222222222222</v>
      </c>
    </row>
    <row r="112" spans="1:7" x14ac:dyDescent="0.3">
      <c r="B112" s="3" t="s">
        <v>282</v>
      </c>
      <c r="C112" s="9">
        <v>62.7777777777777</v>
      </c>
    </row>
    <row r="113" spans="2:3" x14ac:dyDescent="0.3">
      <c r="B113" s="3" t="s">
        <v>250</v>
      </c>
      <c r="C113" s="9">
        <v>65.355555555555497</v>
      </c>
    </row>
    <row r="114" spans="2:3" x14ac:dyDescent="0.3">
      <c r="B114" s="2" t="s">
        <v>327</v>
      </c>
      <c r="C114" s="9">
        <v>71.307407407407396</v>
      </c>
    </row>
  </sheetData>
  <sortState xmlns:xlrd2="http://schemas.microsoft.com/office/spreadsheetml/2017/richdata2" ref="B105:C114">
    <sortCondition ref="C105:C114"/>
  </sortState>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D6E2D-B9AC-44E4-828A-CC4782494195}">
  <dimension ref="A1:U14"/>
  <sheetViews>
    <sheetView showGridLines="0" tabSelected="1" topLeftCell="A8" zoomScale="69" zoomScaleNormal="80" workbookViewId="0">
      <selection activeCell="AB15" sqref="AB15"/>
    </sheetView>
  </sheetViews>
  <sheetFormatPr defaultRowHeight="14.4" x14ac:dyDescent="0.3"/>
  <cols>
    <col min="21" max="21" width="20.5546875" customWidth="1"/>
  </cols>
  <sheetData>
    <row r="1" spans="1:21" x14ac:dyDescent="0.3">
      <c r="A1" s="21" t="s">
        <v>519</v>
      </c>
      <c r="B1" s="22"/>
      <c r="C1" s="22"/>
      <c r="D1" s="22"/>
      <c r="E1" s="22"/>
      <c r="F1" s="22"/>
      <c r="G1" s="22"/>
      <c r="H1" s="22"/>
      <c r="I1" s="22"/>
      <c r="J1" s="22"/>
      <c r="K1" s="22"/>
      <c r="L1" s="22"/>
      <c r="M1" s="22"/>
      <c r="N1" s="22"/>
      <c r="O1" s="22"/>
      <c r="P1" s="22"/>
      <c r="Q1" s="22"/>
      <c r="R1" s="22"/>
      <c r="S1" s="22"/>
      <c r="T1" s="22"/>
      <c r="U1" s="22"/>
    </row>
    <row r="2" spans="1:21" x14ac:dyDescent="0.3">
      <c r="A2" s="22"/>
      <c r="B2" s="22"/>
      <c r="C2" s="22"/>
      <c r="D2" s="22"/>
      <c r="E2" s="22"/>
      <c r="F2" s="22"/>
      <c r="G2" s="22"/>
      <c r="H2" s="22"/>
      <c r="I2" s="22"/>
      <c r="J2" s="22"/>
      <c r="K2" s="22"/>
      <c r="L2" s="22"/>
      <c r="M2" s="22"/>
      <c r="N2" s="22"/>
      <c r="O2" s="22"/>
      <c r="P2" s="22"/>
      <c r="Q2" s="22"/>
      <c r="R2" s="22"/>
      <c r="S2" s="22"/>
      <c r="T2" s="22"/>
      <c r="U2" s="22"/>
    </row>
    <row r="3" spans="1:21" x14ac:dyDescent="0.3">
      <c r="A3" s="22"/>
      <c r="B3" s="22"/>
      <c r="C3" s="22"/>
      <c r="D3" s="22"/>
      <c r="E3" s="22"/>
      <c r="F3" s="22"/>
      <c r="G3" s="22"/>
      <c r="H3" s="22"/>
      <c r="I3" s="22"/>
      <c r="J3" s="22"/>
      <c r="K3" s="22"/>
      <c r="L3" s="22"/>
      <c r="M3" s="22"/>
      <c r="N3" s="22"/>
      <c r="O3" s="22"/>
      <c r="P3" s="22"/>
      <c r="Q3" s="22"/>
      <c r="R3" s="22"/>
      <c r="S3" s="22"/>
      <c r="T3" s="22"/>
      <c r="U3" s="22"/>
    </row>
    <row r="4" spans="1:21" ht="14.4" customHeight="1" x14ac:dyDescent="0.3">
      <c r="T4" s="23">
        <f>AVERAGE('Data Preprocessing'!T2:T196)</f>
        <v>14.869473081328733</v>
      </c>
      <c r="U4" s="24"/>
    </row>
    <row r="5" spans="1:21" ht="14.4" customHeight="1" x14ac:dyDescent="0.3">
      <c r="T5" s="25"/>
      <c r="U5" s="26"/>
    </row>
    <row r="6" spans="1:21" ht="14.4" customHeight="1" x14ac:dyDescent="0.3">
      <c r="T6" s="25"/>
      <c r="U6" s="26"/>
    </row>
    <row r="7" spans="1:21" ht="14.4" customHeight="1" x14ac:dyDescent="0.3">
      <c r="T7" s="25" t="s">
        <v>520</v>
      </c>
      <c r="U7" s="26"/>
    </row>
    <row r="8" spans="1:21" x14ac:dyDescent="0.3">
      <c r="T8" s="27"/>
      <c r="U8" s="28"/>
    </row>
    <row r="10" spans="1:21" x14ac:dyDescent="0.3">
      <c r="T10" s="29">
        <f>COUNT('Data Preprocessing'!A1:A195)</f>
        <v>194</v>
      </c>
      <c r="U10" s="30"/>
    </row>
    <row r="11" spans="1:21" x14ac:dyDescent="0.3">
      <c r="T11" s="31"/>
      <c r="U11" s="32"/>
    </row>
    <row r="12" spans="1:21" x14ac:dyDescent="0.3">
      <c r="T12" s="31"/>
      <c r="U12" s="32"/>
    </row>
    <row r="13" spans="1:21" ht="18" x14ac:dyDescent="0.35">
      <c r="T13" s="20" t="s">
        <v>521</v>
      </c>
      <c r="U13" s="19"/>
    </row>
    <row r="14" spans="1:21" ht="18" x14ac:dyDescent="0.35">
      <c r="T14" s="17"/>
      <c r="U14" s="18"/>
    </row>
  </sheetData>
  <sortState xmlns:xlrd2="http://schemas.microsoft.com/office/spreadsheetml/2017/richdata2" ref="A4:B11">
    <sortCondition ref="B2:B11"/>
  </sortState>
  <mergeCells count="4">
    <mergeCell ref="A1:U3"/>
    <mergeCell ref="T4:U6"/>
    <mergeCell ref="T7:U8"/>
    <mergeCell ref="T10:U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Indian_water_data</vt:lpstr>
      <vt:lpstr>Data Cleaning</vt:lpstr>
      <vt:lpstr>Data Preprocessing</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Khandelwal</dc:creator>
  <cp:lastModifiedBy>Prakhar Khandelwal</cp:lastModifiedBy>
  <dcterms:created xsi:type="dcterms:W3CDTF">2025-11-10T07:20:34Z</dcterms:created>
  <dcterms:modified xsi:type="dcterms:W3CDTF">2025-11-12T05:05:45Z</dcterms:modified>
</cp:coreProperties>
</file>